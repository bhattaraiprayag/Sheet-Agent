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os" sheetId="1" r:id="rId4"/>
    <sheet state="visible" name="Result" sheetId="2" r:id="rId5"/>
  </sheets>
  <definedNames>
    <definedName hidden="1" localSheetId="0" name="_xlnm._FilterDatabase">Opos!$A$1:$AD$151</definedName>
  </definedNames>
  <calcPr/>
</workbook>
</file>

<file path=xl/sharedStrings.xml><?xml version="1.0" encoding="utf-8"?>
<sst xmlns="http://schemas.openxmlformats.org/spreadsheetml/2006/main" count="1025" uniqueCount="307">
  <si>
    <t>Zuordnung</t>
  </si>
  <si>
    <t>Buchungsdatum</t>
  </si>
  <si>
    <t>Belegart</t>
  </si>
  <si>
    <t>Belegnummer</t>
  </si>
  <si>
    <t>Belegdatum</t>
  </si>
  <si>
    <t>Geschäftsbereich</t>
  </si>
  <si>
    <t>Position</t>
  </si>
  <si>
    <t>Buchungsschlüssel</t>
  </si>
  <si>
    <t>Negativbuchung</t>
  </si>
  <si>
    <t>Mahnstufe</t>
  </si>
  <si>
    <t>Zahlweg</t>
  </si>
  <si>
    <t>Skontobasis</t>
  </si>
  <si>
    <t>Zahlungsfr.basis</t>
  </si>
  <si>
    <t>Tage 1</t>
  </si>
  <si>
    <t>Skontosatz 1</t>
  </si>
  <si>
    <t>Due Date</t>
  </si>
  <si>
    <t>Sonderhauptb.Kennz.</t>
  </si>
  <si>
    <t>Betrag in Belegwährung</t>
  </si>
  <si>
    <t>Währung</t>
  </si>
  <si>
    <t>Betrag in Hauswährung</t>
  </si>
  <si>
    <t>texte vorhanden</t>
  </si>
  <si>
    <t>Maturity</t>
  </si>
  <si>
    <t>Invoice?</t>
  </si>
  <si>
    <t>Credit?</t>
  </si>
  <si>
    <t>Cluster</t>
  </si>
  <si>
    <t>Cluster (acc)</t>
  </si>
  <si>
    <t>Invoice</t>
  </si>
  <si>
    <t>Credit</t>
  </si>
  <si>
    <t>0090429355</t>
  </si>
  <si>
    <t>RV</t>
  </si>
  <si>
    <t>90429355</t>
  </si>
  <si>
    <t>1</t>
  </si>
  <si>
    <t>01</t>
  </si>
  <si>
    <t>0</t>
  </si>
  <si>
    <t>EUR</t>
  </si>
  <si>
    <t>Not mature</t>
  </si>
  <si>
    <t>0090429618</t>
  </si>
  <si>
    <t>90429618</t>
  </si>
  <si>
    <t>0-30</t>
  </si>
  <si>
    <t>0090429763</t>
  </si>
  <si>
    <t>90429763</t>
  </si>
  <si>
    <t>31-60</t>
  </si>
  <si>
    <t>0090429764</t>
  </si>
  <si>
    <t>90429764</t>
  </si>
  <si>
    <t>greater 60</t>
  </si>
  <si>
    <t>0090429765</t>
  </si>
  <si>
    <t>90429765</t>
  </si>
  <si>
    <t>20240704</t>
  </si>
  <si>
    <t>90421161</t>
  </si>
  <si>
    <t>11</t>
  </si>
  <si>
    <t>Total acc</t>
  </si>
  <si>
    <t>Debitor 213752</t>
  </si>
  <si>
    <t>0090429541</t>
  </si>
  <si>
    <t>90429541</t>
  </si>
  <si>
    <t>0090429717</t>
  </si>
  <si>
    <t>90429717</t>
  </si>
  <si>
    <t>Debitor 214819</t>
  </si>
  <si>
    <t>20250214</t>
  </si>
  <si>
    <t>DG</t>
  </si>
  <si>
    <t>1600000286</t>
  </si>
  <si>
    <t>Debitor 214880</t>
  </si>
  <si>
    <t>0090429798</t>
  </si>
  <si>
    <t>90429798</t>
  </si>
  <si>
    <t>0090429835</t>
  </si>
  <si>
    <t>90429835</t>
  </si>
  <si>
    <t>0090429843</t>
  </si>
  <si>
    <t>90429843</t>
  </si>
  <si>
    <t>Debitor 215082</t>
  </si>
  <si>
    <t>0090406170</t>
  </si>
  <si>
    <t>90426524</t>
  </si>
  <si>
    <t>Debitor 216036</t>
  </si>
  <si>
    <t>0090429718</t>
  </si>
  <si>
    <t>90429718</t>
  </si>
  <si>
    <t>Debitor 216093</t>
  </si>
  <si>
    <t>20250423</t>
  </si>
  <si>
    <t>90429075</t>
  </si>
  <si>
    <t>Debitor 216594</t>
  </si>
  <si>
    <t>0090424967</t>
  </si>
  <si>
    <t>90429589</t>
  </si>
  <si>
    <t>0090429845</t>
  </si>
  <si>
    <t>90429845</t>
  </si>
  <si>
    <t>Debitor 216837</t>
  </si>
  <si>
    <t>0090429208</t>
  </si>
  <si>
    <t>90429208</t>
  </si>
  <si>
    <t>Debitor 216887</t>
  </si>
  <si>
    <t>0090428511</t>
  </si>
  <si>
    <t>90428511</t>
  </si>
  <si>
    <t>0090429542</t>
  </si>
  <si>
    <t>90429542</t>
  </si>
  <si>
    <t>Debitor 217042</t>
  </si>
  <si>
    <t>0090429076</t>
  </si>
  <si>
    <t>90429076</t>
  </si>
  <si>
    <t>20250512</t>
  </si>
  <si>
    <t>90429540</t>
  </si>
  <si>
    <t>Debitor 217074</t>
  </si>
  <si>
    <t>0090429674</t>
  </si>
  <si>
    <t>90429674</t>
  </si>
  <si>
    <t>Debitor 217889</t>
  </si>
  <si>
    <t>0090429280</t>
  </si>
  <si>
    <t>90429280</t>
  </si>
  <si>
    <t>Debitor 217936</t>
  </si>
  <si>
    <t>0090416160</t>
  </si>
  <si>
    <t>90425561</t>
  </si>
  <si>
    <t>1600000289</t>
  </si>
  <si>
    <t>Debitor 220473</t>
  </si>
  <si>
    <t>0090413794</t>
  </si>
  <si>
    <t>90425563</t>
  </si>
  <si>
    <t>0090421993</t>
  </si>
  <si>
    <t>90428893</t>
  </si>
  <si>
    <t>0090422504</t>
  </si>
  <si>
    <t>90428894</t>
  </si>
  <si>
    <t>0090425376/77</t>
  </si>
  <si>
    <t>DZ</t>
  </si>
  <si>
    <t>1400005915</t>
  </si>
  <si>
    <t>2</t>
  </si>
  <si>
    <t>15</t>
  </si>
  <si>
    <t>0090426880</t>
  </si>
  <si>
    <t>90426880</t>
  </si>
  <si>
    <t>0090426881</t>
  </si>
  <si>
    <t>90426881</t>
  </si>
  <si>
    <t>0090427619</t>
  </si>
  <si>
    <t>90427619</t>
  </si>
  <si>
    <t>0090429146</t>
  </si>
  <si>
    <t>90429146</t>
  </si>
  <si>
    <t>0090429147</t>
  </si>
  <si>
    <t>90429147</t>
  </si>
  <si>
    <t>0090429439</t>
  </si>
  <si>
    <t>90429439</t>
  </si>
  <si>
    <t>0090429440</t>
  </si>
  <si>
    <t>90429440</t>
  </si>
  <si>
    <t>20250212</t>
  </si>
  <si>
    <t>1400005948</t>
  </si>
  <si>
    <t>20250220</t>
  </si>
  <si>
    <t>1400005963</t>
  </si>
  <si>
    <t>20250402</t>
  </si>
  <si>
    <t>90428892</t>
  </si>
  <si>
    <t>20250409</t>
  </si>
  <si>
    <t>1400006027</t>
  </si>
  <si>
    <t>20250416</t>
  </si>
  <si>
    <t>1600000295</t>
  </si>
  <si>
    <t>1600000294</t>
  </si>
  <si>
    <t>1600000293</t>
  </si>
  <si>
    <t>20250509</t>
  </si>
  <si>
    <t>1400006076</t>
  </si>
  <si>
    <t>GR028/2024</t>
  </si>
  <si>
    <t>1600000282</t>
  </si>
  <si>
    <t>REST 0090423990</t>
  </si>
  <si>
    <t>AB</t>
  </si>
  <si>
    <t>1100012297</t>
  </si>
  <si>
    <t>17</t>
  </si>
  <si>
    <t>Debitor 221423</t>
  </si>
  <si>
    <t>0090429719</t>
  </si>
  <si>
    <t>90429719</t>
  </si>
  <si>
    <t>Debitor 221622</t>
  </si>
  <si>
    <t>20250219</t>
  </si>
  <si>
    <t>90427299</t>
  </si>
  <si>
    <t>Debitor 221827</t>
  </si>
  <si>
    <t>0090427184</t>
  </si>
  <si>
    <t>90427184</t>
  </si>
  <si>
    <t>0090427393</t>
  </si>
  <si>
    <t>90427393</t>
  </si>
  <si>
    <t>0090427621</t>
  </si>
  <si>
    <t>90427621</t>
  </si>
  <si>
    <t>0090427659</t>
  </si>
  <si>
    <t>90427659</t>
  </si>
  <si>
    <t>0090427824</t>
  </si>
  <si>
    <t>90427824</t>
  </si>
  <si>
    <t>0090427873</t>
  </si>
  <si>
    <t>90427873</t>
  </si>
  <si>
    <t>0090428446</t>
  </si>
  <si>
    <t>90428446</t>
  </si>
  <si>
    <t>0090428447</t>
  </si>
  <si>
    <t>90428447</t>
  </si>
  <si>
    <t>0090428514</t>
  </si>
  <si>
    <t>90428514</t>
  </si>
  <si>
    <t>0090429449</t>
  </si>
  <si>
    <t>90429449</t>
  </si>
  <si>
    <t>20250430</t>
  </si>
  <si>
    <t>1400006061</t>
  </si>
  <si>
    <t>20250516</t>
  </si>
  <si>
    <t>1400006084</t>
  </si>
  <si>
    <t>Debitor 221962</t>
  </si>
  <si>
    <t>0090428683</t>
  </si>
  <si>
    <t>90428683</t>
  </si>
  <si>
    <t>0090429675</t>
  </si>
  <si>
    <t>90429675</t>
  </si>
  <si>
    <t>Debitor 221971</t>
  </si>
  <si>
    <t>0090427998</t>
  </si>
  <si>
    <t>90427998</t>
  </si>
  <si>
    <t>0090429545</t>
  </si>
  <si>
    <t>90429545</t>
  </si>
  <si>
    <t>0090429546</t>
  </si>
  <si>
    <t>90429546</t>
  </si>
  <si>
    <t>Debitor 221989</t>
  </si>
  <si>
    <t>0090427080</t>
  </si>
  <si>
    <t>90427080</t>
  </si>
  <si>
    <t>Debitor 222007</t>
  </si>
  <si>
    <t>0090424409</t>
  </si>
  <si>
    <t>90427917</t>
  </si>
  <si>
    <t>0090426009</t>
  </si>
  <si>
    <t>90426009</t>
  </si>
  <si>
    <t>0090427749</t>
  </si>
  <si>
    <t>90427749</t>
  </si>
  <si>
    <t>0090428533</t>
  </si>
  <si>
    <t>90428533</t>
  </si>
  <si>
    <t>0090428964</t>
  </si>
  <si>
    <t>90428964</t>
  </si>
  <si>
    <t>90429171</t>
  </si>
  <si>
    <t>0090429170</t>
  </si>
  <si>
    <t>90429170</t>
  </si>
  <si>
    <t>1400006040</t>
  </si>
  <si>
    <t>Debitor 222058</t>
  </si>
  <si>
    <t>0090428737</t>
  </si>
  <si>
    <t>90428737</t>
  </si>
  <si>
    <t>Debitor 222060</t>
  </si>
  <si>
    <t>0090428684</t>
  </si>
  <si>
    <t>90428684</t>
  </si>
  <si>
    <t>0090429353</t>
  </si>
  <si>
    <t>90429353</t>
  </si>
  <si>
    <t>Debitor 222067</t>
  </si>
  <si>
    <t>20240112</t>
  </si>
  <si>
    <t>90415986</t>
  </si>
  <si>
    <t>Debitor 222083</t>
  </si>
  <si>
    <t>0090428448</t>
  </si>
  <si>
    <t>90428448</t>
  </si>
  <si>
    <t>0090429080</t>
  </si>
  <si>
    <t>90429080</t>
  </si>
  <si>
    <t>0090429352</t>
  </si>
  <si>
    <t>90429352</t>
  </si>
  <si>
    <t>0090429543</t>
  </si>
  <si>
    <t>90429543</t>
  </si>
  <si>
    <t>Debitor 222112</t>
  </si>
  <si>
    <t>0090429720</t>
  </si>
  <si>
    <t>90429720</t>
  </si>
  <si>
    <t>Debitor 222761</t>
  </si>
  <si>
    <t>0090428739</t>
  </si>
  <si>
    <t>90428739</t>
  </si>
  <si>
    <t>Debitor 222830</t>
  </si>
  <si>
    <t>20240715</t>
  </si>
  <si>
    <t>1600000274</t>
  </si>
  <si>
    <t>1600000275</t>
  </si>
  <si>
    <t>Debitor 223106</t>
  </si>
  <si>
    <t>0090428933</t>
  </si>
  <si>
    <t>90428933</t>
  </si>
  <si>
    <t>USD</t>
  </si>
  <si>
    <t>Debitor 223309</t>
  </si>
  <si>
    <t>0090423714</t>
  </si>
  <si>
    <t>1100012500</t>
  </si>
  <si>
    <t>0090424473</t>
  </si>
  <si>
    <t>1100012501</t>
  </si>
  <si>
    <t>04</t>
  </si>
  <si>
    <t>X</t>
  </si>
  <si>
    <t>0090427081</t>
  </si>
  <si>
    <t>1100012502</t>
  </si>
  <si>
    <t>20250331</t>
  </si>
  <si>
    <t>1400006008</t>
  </si>
  <si>
    <t>Debitor 225851</t>
  </si>
  <si>
    <t>20230807</t>
  </si>
  <si>
    <t>90411667</t>
  </si>
  <si>
    <t>Debitor 225905</t>
  </si>
  <si>
    <t>0090429721</t>
  </si>
  <si>
    <t>90429721</t>
  </si>
  <si>
    <t>0090429722</t>
  </si>
  <si>
    <t>90429722</t>
  </si>
  <si>
    <t>Debitor 226227</t>
  </si>
  <si>
    <t>0090429723</t>
  </si>
  <si>
    <t>90429723</t>
  </si>
  <si>
    <t>Debitor 226434</t>
  </si>
  <si>
    <t>0090423324</t>
  </si>
  <si>
    <t>1100012541</t>
  </si>
  <si>
    <t>Debitor 226672</t>
  </si>
  <si>
    <t>0090413590</t>
  </si>
  <si>
    <t>90413590</t>
  </si>
  <si>
    <t>3</t>
  </si>
  <si>
    <t>90416957</t>
  </si>
  <si>
    <t>Debitor 226774</t>
  </si>
  <si>
    <t>0090422552</t>
  </si>
  <si>
    <t>90422552</t>
  </si>
  <si>
    <t>0090422739</t>
  </si>
  <si>
    <t>90422739</t>
  </si>
  <si>
    <t>0090427876</t>
  </si>
  <si>
    <t>90427876</t>
  </si>
  <si>
    <t>20240809</t>
  </si>
  <si>
    <t>1400005702</t>
  </si>
  <si>
    <t>Debitor 226871</t>
  </si>
  <si>
    <t>0090429844</t>
  </si>
  <si>
    <t>90429844</t>
  </si>
  <si>
    <t>Debitor 226944</t>
  </si>
  <si>
    <t>0090428471</t>
  </si>
  <si>
    <t>90428471</t>
  </si>
  <si>
    <t>Debitor 226957</t>
  </si>
  <si>
    <t>Hauptbuchkonto 105000</t>
  </si>
  <si>
    <t>Buchungskreis 5000</t>
  </si>
  <si>
    <t>Sum of Invoice Amounts</t>
  </si>
  <si>
    <t>Sum of Credit Amounts</t>
  </si>
  <si>
    <t>Maturity Cluster</t>
  </si>
  <si>
    <t>Total Amount</t>
  </si>
  <si>
    <t>Percentage</t>
  </si>
  <si>
    <t>Credit Maturity Cluster</t>
  </si>
  <si>
    <t>Cumulative Row Numbers</t>
  </si>
  <si>
    <t>Invoice Row Numbers</t>
  </si>
  <si>
    <t>Credit Row Numbers</t>
  </si>
  <si>
    <t>Incomplete Invoice Rows</t>
  </si>
  <si>
    <t>Incomplete Credit Rows</t>
  </si>
  <si>
    <t>1-30 days</t>
  </si>
  <si>
    <t>31-60 days</t>
  </si>
  <si>
    <t>&gt;60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</si>
</sst>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0"/>
    <numFmt numFmtId="166" formatCode="[$€]#,##0.00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readingOrder="0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164" xfId="0" applyAlignment="1" applyFont="1" applyNumberFormat="1">
      <alignment horizontal="right" vertical="top"/>
    </xf>
    <xf borderId="0" fillId="0" fontId="1" numFmtId="4" xfId="0" applyAlignment="1" applyFont="1" applyNumberFormat="1">
      <alignment horizontal="right" vertical="top"/>
    </xf>
    <xf borderId="0" fillId="0" fontId="1" numFmtId="3" xfId="0" applyAlignment="1" applyFont="1" applyNumberFormat="1">
      <alignment horizontal="right" vertical="top"/>
    </xf>
    <xf borderId="0" fillId="0" fontId="1" numFmtId="165" xfId="0" applyAlignment="1" applyFont="1" applyNumberFormat="1">
      <alignment horizontal="right" vertical="top"/>
    </xf>
    <xf borderId="0" fillId="0" fontId="3" numFmtId="166" xfId="0" applyFont="1" applyNumberFormat="1"/>
    <xf borderId="0" fillId="0" fontId="3" numFmtId="0" xfId="0" applyAlignment="1" applyFont="1">
      <alignment readingOrder="0"/>
    </xf>
    <xf borderId="1" fillId="3" fontId="1" numFmtId="0" xfId="0" applyAlignment="1" applyBorder="1" applyFill="1" applyFont="1">
      <alignment vertical="top"/>
    </xf>
    <xf borderId="1" fillId="3" fontId="1" numFmtId="164" xfId="0" applyAlignment="1" applyBorder="1" applyFont="1" applyNumberFormat="1">
      <alignment horizontal="right" vertical="top"/>
    </xf>
    <xf borderId="1" fillId="3" fontId="1" numFmtId="3" xfId="0" applyAlignment="1" applyBorder="1" applyFont="1" applyNumberFormat="1">
      <alignment horizontal="right" vertical="top"/>
    </xf>
    <xf borderId="1" fillId="3" fontId="1" numFmtId="4" xfId="0" applyAlignment="1" applyBorder="1" applyFont="1" applyNumberFormat="1">
      <alignment horizontal="right" vertical="top"/>
    </xf>
    <xf borderId="1" fillId="4" fontId="1" numFmtId="0" xfId="0" applyAlignment="1" applyBorder="1" applyFill="1" applyFont="1">
      <alignment vertical="top"/>
    </xf>
    <xf borderId="1" fillId="4" fontId="1" numFmtId="164" xfId="0" applyAlignment="1" applyBorder="1" applyFont="1" applyNumberFormat="1">
      <alignment horizontal="right" vertical="top"/>
    </xf>
    <xf borderId="1" fillId="4" fontId="1" numFmtId="3" xfId="0" applyAlignment="1" applyBorder="1" applyFont="1" applyNumberFormat="1">
      <alignment horizontal="right" vertical="top"/>
    </xf>
    <xf borderId="1" fillId="4" fontId="1" numFmtId="4" xfId="0" applyAlignment="1" applyBorder="1" applyFont="1" applyNumberFormat="1">
      <alignment horizontal="right" vertical="top"/>
    </xf>
    <xf borderId="0" fillId="0" fontId="1" numFmtId="0" xfId="0" applyAlignment="1" applyFont="1">
      <alignment vertical="bottom"/>
    </xf>
    <xf borderId="0" fillId="0" fontId="4" numFmtId="0" xfId="0" applyFont="1"/>
    <xf borderId="0" fillId="0" fontId="3" numFmtId="10" xfId="0" applyFont="1" applyNumberFormat="1"/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Row="4"/>
  <cols>
    <col customWidth="1" min="1" max="1" width="20.13"/>
    <col customWidth="1" min="2" max="2" width="13.13"/>
    <col customWidth="1" min="3" max="3" width="10.13"/>
    <col customWidth="1" min="4" max="4" width="14.63"/>
    <col customWidth="1" min="5" max="5" width="13.0"/>
    <col customWidth="1" hidden="1" min="6" max="6" width="15.75"/>
    <col customWidth="1" hidden="1" min="7" max="7" width="8.75"/>
    <col customWidth="1" hidden="1" min="8" max="8" width="10.5"/>
    <col customWidth="1" hidden="1" min="9" max="9" width="8.75"/>
    <col customWidth="1" hidden="1" min="10" max="10" width="9.63"/>
    <col customWidth="1" hidden="1" min="11" max="11" width="7.88"/>
    <col customWidth="1" hidden="1" min="12" max="12" width="11.38"/>
    <col customWidth="1" hidden="1" min="13" max="13" width="15.75"/>
    <col customWidth="1" hidden="1" min="14" max="14" width="7.0"/>
    <col customWidth="1" hidden="1" min="15" max="15" width="12.25"/>
    <col customWidth="1" min="16" max="16" width="14.88"/>
    <col customWidth="1" hidden="1" min="17" max="17" width="18.38"/>
    <col customWidth="1" min="18" max="18" width="9.63"/>
    <col customWidth="1" min="19" max="19" width="7.88"/>
    <col customWidth="1" min="20" max="20" width="9.63"/>
    <col customWidth="1" min="21" max="21" width="7.88"/>
    <col customWidth="1" hidden="1" min="22" max="22" width="14.88"/>
    <col customWidth="1" min="23" max="23" width="10.0"/>
    <col customWidth="1" min="24" max="24" width="11.25"/>
    <col customWidth="1" min="25" max="25" width="8.13"/>
    <col customWidth="1" min="26" max="26" width="10.13"/>
    <col customWidth="1" min="27" max="27" width="2.0"/>
    <col customWidth="1" min="28" max="30" width="17.25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18</v>
      </c>
      <c r="V1" s="1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/>
      <c r="AB1" s="4" t="s">
        <v>25</v>
      </c>
      <c r="AC1" s="4" t="s">
        <v>26</v>
      </c>
      <c r="AD1" s="4" t="s">
        <v>27</v>
      </c>
    </row>
    <row r="2" ht="12.75" customHeight="1" outlineLevel="4">
      <c r="A2" s="5" t="s">
        <v>28</v>
      </c>
      <c r="B2" s="6">
        <v>45782.0</v>
      </c>
      <c r="C2" s="5" t="s">
        <v>29</v>
      </c>
      <c r="D2" s="5" t="s">
        <v>30</v>
      </c>
      <c r="E2" s="6">
        <v>45782.0</v>
      </c>
      <c r="G2" s="5" t="s">
        <v>31</v>
      </c>
      <c r="H2" s="5" t="s">
        <v>32</v>
      </c>
      <c r="J2" s="5" t="s">
        <v>33</v>
      </c>
      <c r="L2" s="7">
        <v>2784.6</v>
      </c>
      <c r="M2" s="6">
        <v>45782.0</v>
      </c>
      <c r="N2" s="8">
        <v>14.0</v>
      </c>
      <c r="O2" s="9">
        <v>2.0</v>
      </c>
      <c r="P2" s="6">
        <v>45812.0</v>
      </c>
      <c r="R2" s="7">
        <v>2784.6</v>
      </c>
      <c r="S2" s="5" t="s">
        <v>34</v>
      </c>
      <c r="T2" s="7">
        <v>2784.6</v>
      </c>
      <c r="U2" s="5" t="s">
        <v>34</v>
      </c>
      <c r="W2" s="5">
        <f>IFERROR(__xludf.DUMMYFUNCTION("If(OR(X2=true, Y2=true), If(P2&gt;Date(2025, 6, 10), Datedif(Date(2025, 6, 10), P2, ""D""), DATEDIF(P2, Date(2025, 6, 10), ""D"") * -1))"),-6.0)</f>
        <v>-6</v>
      </c>
      <c r="X2" s="5" t="b">
        <f t="shared" ref="X2:X151" si="1">If(OR(B2="", R2&lt;0),false, true)</f>
        <v>1</v>
      </c>
      <c r="Y2" s="5" t="b">
        <f t="shared" ref="Y2:Y151" si="2">If(OR(C2="", R2&gt;0),false, true)</f>
        <v>0</v>
      </c>
      <c r="Z2" s="5" t="str">
        <f>IFERROR(__xludf.DUMMYFUNCTION("If(OR(X2=true, Y2=true), if(W2&lt;-60, ""greater 60"",if(W2&lt;-30, ""31-60"", If(W2&lt;0,""0-30"", ""Not mature""))))"),"0-30")</f>
        <v>0-30</v>
      </c>
      <c r="AA2" s="4"/>
      <c r="AB2" s="4" t="s">
        <v>35</v>
      </c>
      <c r="AC2" s="10">
        <f t="shared" ref="AC2:AC5" si="3">SUMIFS(R:R, X:X, TRUE, Z:Z, AB2)</f>
        <v>343446.61</v>
      </c>
      <c r="AD2" s="10">
        <f t="shared" ref="AD2:AD5" si="4">SUMIFS(R:R, Y:Y, TRUE, Z:Z, AB2)</f>
        <v>0</v>
      </c>
    </row>
    <row r="3" ht="12.75" customHeight="1" outlineLevel="4">
      <c r="A3" s="5" t="s">
        <v>36</v>
      </c>
      <c r="B3" s="6">
        <v>45791.0</v>
      </c>
      <c r="C3" s="5" t="s">
        <v>29</v>
      </c>
      <c r="D3" s="5" t="s">
        <v>37</v>
      </c>
      <c r="E3" s="6">
        <v>45791.0</v>
      </c>
      <c r="G3" s="5" t="s">
        <v>31</v>
      </c>
      <c r="H3" s="5" t="s">
        <v>32</v>
      </c>
      <c r="J3" s="5" t="s">
        <v>33</v>
      </c>
      <c r="L3" s="7">
        <v>4556.3</v>
      </c>
      <c r="M3" s="6">
        <v>45791.0</v>
      </c>
      <c r="N3" s="8">
        <v>14.0</v>
      </c>
      <c r="O3" s="9">
        <v>2.0</v>
      </c>
      <c r="P3" s="6">
        <v>45821.0</v>
      </c>
      <c r="R3" s="7">
        <v>4556.3</v>
      </c>
      <c r="S3" s="5" t="s">
        <v>34</v>
      </c>
      <c r="T3" s="7">
        <v>4556.3</v>
      </c>
      <c r="U3" s="5" t="s">
        <v>34</v>
      </c>
      <c r="W3" s="5">
        <f>IFERROR(__xludf.DUMMYFUNCTION("If(OR(X3=true, Y3=true), If(P3&gt;Date(2025, 6, 10), Datedif(Date(2025, 6, 10), P3, ""D""), DATEDIF(P3, Date(2025, 6, 10), ""D"") * -1))"),3.0)</f>
        <v>3</v>
      </c>
      <c r="X3" s="5" t="b">
        <f t="shared" si="1"/>
        <v>1</v>
      </c>
      <c r="Y3" s="5" t="b">
        <f t="shared" si="2"/>
        <v>0</v>
      </c>
      <c r="Z3" s="5" t="str">
        <f>IFERROR(__xludf.DUMMYFUNCTION("If(OR(X3=true, Y3=true), if(W3&lt;-60, ""greater 60"",if(W3&lt;-30, ""31-60"", If(W3&lt;0,""0-30"", ""Not mature""))))"),"Not mature")</f>
        <v>Not mature</v>
      </c>
      <c r="AA3" s="4"/>
      <c r="AB3" s="4" t="s">
        <v>38</v>
      </c>
      <c r="AC3" s="10">
        <f t="shared" si="3"/>
        <v>117724.01</v>
      </c>
      <c r="AD3" s="10">
        <f t="shared" si="4"/>
        <v>-18319.93</v>
      </c>
    </row>
    <row r="4" ht="12.75" customHeight="1" outlineLevel="4">
      <c r="A4" s="5" t="s">
        <v>39</v>
      </c>
      <c r="B4" s="6">
        <v>45797.0</v>
      </c>
      <c r="C4" s="5" t="s">
        <v>29</v>
      </c>
      <c r="D4" s="5" t="s">
        <v>40</v>
      </c>
      <c r="E4" s="6">
        <v>45797.0</v>
      </c>
      <c r="G4" s="5" t="s">
        <v>31</v>
      </c>
      <c r="H4" s="5" t="s">
        <v>32</v>
      </c>
      <c r="J4" s="5" t="s">
        <v>33</v>
      </c>
      <c r="L4" s="7">
        <v>2811.3</v>
      </c>
      <c r="M4" s="6">
        <v>45797.0</v>
      </c>
      <c r="N4" s="8">
        <v>14.0</v>
      </c>
      <c r="O4" s="9">
        <v>2.0</v>
      </c>
      <c r="P4" s="6">
        <v>45827.0</v>
      </c>
      <c r="R4" s="7">
        <v>2811.3</v>
      </c>
      <c r="S4" s="5" t="s">
        <v>34</v>
      </c>
      <c r="T4" s="7">
        <v>2811.3</v>
      </c>
      <c r="U4" s="5" t="s">
        <v>34</v>
      </c>
      <c r="W4" s="5">
        <f>IFERROR(__xludf.DUMMYFUNCTION("If(OR(X4=true, Y4=true), If(P4&gt;Date(2025, 6, 10), Datedif(Date(2025, 6, 10), P4, ""D""), DATEDIF(P4, Date(2025, 6, 10), ""D"") * -1))"),9.0)</f>
        <v>9</v>
      </c>
      <c r="X4" s="5" t="b">
        <f t="shared" si="1"/>
        <v>1</v>
      </c>
      <c r="Y4" s="5" t="b">
        <f t="shared" si="2"/>
        <v>0</v>
      </c>
      <c r="Z4" s="5" t="str">
        <f>IFERROR(__xludf.DUMMYFUNCTION("If(OR(X4=true, Y4=true), if(W4&lt;-60, ""greater 60"",if(W4&lt;-30, ""31-60"", If(W4&lt;0,""0-30"", ""Not mature""))))"),"Not mature")</f>
        <v>Not mature</v>
      </c>
      <c r="AA4" s="4"/>
      <c r="AB4" s="4" t="s">
        <v>41</v>
      </c>
      <c r="AC4" s="10">
        <f t="shared" si="3"/>
        <v>58008.36</v>
      </c>
      <c r="AD4" s="10">
        <f t="shared" si="4"/>
        <v>-104484.34</v>
      </c>
    </row>
    <row r="5" ht="12.75" customHeight="1" outlineLevel="4">
      <c r="A5" s="5" t="s">
        <v>42</v>
      </c>
      <c r="B5" s="6">
        <v>45797.0</v>
      </c>
      <c r="C5" s="5" t="s">
        <v>29</v>
      </c>
      <c r="D5" s="5" t="s">
        <v>43</v>
      </c>
      <c r="E5" s="6">
        <v>45797.0</v>
      </c>
      <c r="G5" s="5" t="s">
        <v>31</v>
      </c>
      <c r="H5" s="5" t="s">
        <v>32</v>
      </c>
      <c r="J5" s="5" t="s">
        <v>33</v>
      </c>
      <c r="L5" s="7">
        <v>2811.3</v>
      </c>
      <c r="M5" s="6">
        <v>45797.0</v>
      </c>
      <c r="N5" s="8">
        <v>14.0</v>
      </c>
      <c r="O5" s="9">
        <v>2.0</v>
      </c>
      <c r="P5" s="6">
        <v>45827.0</v>
      </c>
      <c r="R5" s="7">
        <v>2811.3</v>
      </c>
      <c r="S5" s="5" t="s">
        <v>34</v>
      </c>
      <c r="T5" s="7">
        <v>2811.3</v>
      </c>
      <c r="U5" s="5" t="s">
        <v>34</v>
      </c>
      <c r="W5" s="5">
        <f>IFERROR(__xludf.DUMMYFUNCTION("If(OR(X5=true, Y5=true), If(P5&gt;Date(2025, 6, 10), Datedif(Date(2025, 6, 10), P5, ""D""), DATEDIF(P5, Date(2025, 6, 10), ""D"") * -1))"),9.0)</f>
        <v>9</v>
      </c>
      <c r="X5" s="5" t="b">
        <f t="shared" si="1"/>
        <v>1</v>
      </c>
      <c r="Y5" s="5" t="b">
        <f t="shared" si="2"/>
        <v>0</v>
      </c>
      <c r="Z5" s="5" t="str">
        <f>IFERROR(__xludf.DUMMYFUNCTION("If(OR(X5=true, Y5=true), if(W5&lt;-60, ""greater 60"",if(W5&lt;-30, ""31-60"", If(W5&lt;0,""0-30"", ""Not mature""))))"),"Not mature")</f>
        <v>Not mature</v>
      </c>
      <c r="AA5" s="4"/>
      <c r="AB5" s="4" t="s">
        <v>44</v>
      </c>
      <c r="AC5" s="10">
        <f t="shared" si="3"/>
        <v>173252.11</v>
      </c>
      <c r="AD5" s="10">
        <f t="shared" si="4"/>
        <v>-148183.81</v>
      </c>
    </row>
    <row r="6" ht="12.75" customHeight="1" outlineLevel="4">
      <c r="A6" s="5" t="s">
        <v>45</v>
      </c>
      <c r="B6" s="6">
        <v>45797.0</v>
      </c>
      <c r="C6" s="5" t="s">
        <v>29</v>
      </c>
      <c r="D6" s="5" t="s">
        <v>46</v>
      </c>
      <c r="E6" s="6">
        <v>45797.0</v>
      </c>
      <c r="G6" s="5" t="s">
        <v>31</v>
      </c>
      <c r="H6" s="5" t="s">
        <v>32</v>
      </c>
      <c r="J6" s="5" t="s">
        <v>33</v>
      </c>
      <c r="L6" s="7">
        <v>2976.6</v>
      </c>
      <c r="M6" s="6">
        <v>45797.0</v>
      </c>
      <c r="N6" s="8">
        <v>14.0</v>
      </c>
      <c r="O6" s="9">
        <v>2.0</v>
      </c>
      <c r="P6" s="6">
        <v>45827.0</v>
      </c>
      <c r="R6" s="7">
        <v>2976.6</v>
      </c>
      <c r="S6" s="5" t="s">
        <v>34</v>
      </c>
      <c r="T6" s="7">
        <v>2976.6</v>
      </c>
      <c r="U6" s="5" t="s">
        <v>34</v>
      </c>
      <c r="W6" s="5">
        <f>IFERROR(__xludf.DUMMYFUNCTION("If(OR(X6=true, Y6=true), If(P6&gt;Date(2025, 6, 10), Datedif(Date(2025, 6, 10), P6, ""D""), DATEDIF(P6, Date(2025, 6, 10), ""D"") * -1))"),9.0)</f>
        <v>9</v>
      </c>
      <c r="X6" s="5" t="b">
        <f t="shared" si="1"/>
        <v>1</v>
      </c>
      <c r="Y6" s="5" t="b">
        <f t="shared" si="2"/>
        <v>0</v>
      </c>
      <c r="Z6" s="5" t="str">
        <f>IFERROR(__xludf.DUMMYFUNCTION("If(OR(X6=true, Y6=true), if(W6&lt;-60, ""greater 60"",if(W6&lt;-30, ""31-60"", If(W6&lt;0,""0-30"", ""Not mature""))))"),"Not mature")</f>
        <v>Not mature</v>
      </c>
    </row>
    <row r="7" ht="12.75" customHeight="1" outlineLevel="4">
      <c r="A7" s="5" t="s">
        <v>47</v>
      </c>
      <c r="B7" s="6">
        <v>45477.0</v>
      </c>
      <c r="C7" s="5" t="s">
        <v>29</v>
      </c>
      <c r="D7" s="5" t="s">
        <v>48</v>
      </c>
      <c r="E7" s="6">
        <v>45477.0</v>
      </c>
      <c r="G7" s="5" t="s">
        <v>31</v>
      </c>
      <c r="H7" s="5" t="s">
        <v>49</v>
      </c>
      <c r="J7" s="5" t="s">
        <v>33</v>
      </c>
      <c r="L7" s="7">
        <v>-399.9</v>
      </c>
      <c r="M7" s="6">
        <v>45477.0</v>
      </c>
      <c r="N7" s="8">
        <v>14.0</v>
      </c>
      <c r="O7" s="9">
        <v>2.0</v>
      </c>
      <c r="P7" s="6">
        <v>45477.0</v>
      </c>
      <c r="R7" s="7">
        <v>-399.9</v>
      </c>
      <c r="S7" s="5" t="s">
        <v>34</v>
      </c>
      <c r="T7" s="7">
        <v>-399.9</v>
      </c>
      <c r="U7" s="5" t="s">
        <v>34</v>
      </c>
      <c r="W7" s="5">
        <f>IFERROR(__xludf.DUMMYFUNCTION("If(OR(X7=true, Y7=true), If(P7&gt;Date(2025, 6, 10), Datedif(Date(2025, 6, 10), P7, ""D""), DATEDIF(P7, Date(2025, 6, 10), ""D"") * -1))"),-341.0)</f>
        <v>-341</v>
      </c>
      <c r="X7" s="5" t="b">
        <f t="shared" si="1"/>
        <v>0</v>
      </c>
      <c r="Y7" s="5" t="b">
        <f t="shared" si="2"/>
        <v>1</v>
      </c>
      <c r="Z7" s="5" t="str">
        <f>IFERROR(__xludf.DUMMYFUNCTION("If(OR(X7=true, Y7=true), if(W7&lt;-60, ""greater 60"",if(W7&lt;-30, ""31-60"", If(W7&lt;0,""0-30"", ""Not mature""))))"),"greater 60")</f>
        <v>greater 60</v>
      </c>
      <c r="AB7" s="11" t="s">
        <v>50</v>
      </c>
      <c r="AC7" s="10">
        <f t="shared" ref="AC7:AD7" si="5">SUM(AC2:AC5)</f>
        <v>692431.09</v>
      </c>
      <c r="AD7" s="10">
        <f t="shared" si="5"/>
        <v>-270988.08</v>
      </c>
    </row>
    <row r="8" ht="12.75" customHeight="1" outlineLevel="3">
      <c r="A8" s="12" t="s">
        <v>51</v>
      </c>
      <c r="B8" s="13"/>
      <c r="C8" s="12"/>
      <c r="D8" s="12"/>
      <c r="E8" s="13"/>
      <c r="F8" s="12"/>
      <c r="G8" s="12"/>
      <c r="H8" s="12"/>
      <c r="I8" s="12"/>
      <c r="J8" s="12"/>
      <c r="K8" s="12"/>
      <c r="L8" s="14"/>
      <c r="M8" s="13"/>
      <c r="N8" s="14"/>
      <c r="O8" s="14"/>
      <c r="P8" s="13"/>
      <c r="Q8" s="12"/>
      <c r="R8" s="15">
        <v>15540.2</v>
      </c>
      <c r="S8" s="12" t="s">
        <v>34</v>
      </c>
      <c r="T8" s="15">
        <v>15540.2</v>
      </c>
      <c r="U8" s="12" t="s">
        <v>34</v>
      </c>
      <c r="V8" s="12"/>
      <c r="W8" s="5" t="b">
        <f>IFERROR(__xludf.DUMMYFUNCTION("If(OR(X8=true, Y8=true), If(P8&gt;Date(2025, 6, 10), Datedif(Date(2025, 6, 10), P8, ""D""), DATEDIF(P8, Date(2025, 6, 10), ""D"") * -1))"),FALSE)</f>
        <v>0</v>
      </c>
      <c r="X8" s="5" t="b">
        <f t="shared" si="1"/>
        <v>0</v>
      </c>
      <c r="Y8" s="5" t="b">
        <f t="shared" si="2"/>
        <v>0</v>
      </c>
      <c r="Z8" s="5" t="b">
        <f>IFERROR(__xludf.DUMMYFUNCTION("If(OR(X8=true, Y8=true), if(W8&lt;-60, ""greater 60"",if(W8&lt;-30, ""31-60"", If(W8&lt;0,""0-30"", ""Not mature""))))"),FALSE)</f>
        <v>0</v>
      </c>
    </row>
    <row r="9" ht="12.75" customHeight="1" outlineLevel="4">
      <c r="A9" s="5" t="s">
        <v>52</v>
      </c>
      <c r="B9" s="6">
        <v>45789.0</v>
      </c>
      <c r="C9" s="5" t="s">
        <v>29</v>
      </c>
      <c r="D9" s="5" t="s">
        <v>53</v>
      </c>
      <c r="E9" s="6">
        <v>45789.0</v>
      </c>
      <c r="G9" s="5" t="s">
        <v>31</v>
      </c>
      <c r="H9" s="5" t="s">
        <v>32</v>
      </c>
      <c r="J9" s="5" t="s">
        <v>33</v>
      </c>
      <c r="L9" s="7">
        <v>7918.2</v>
      </c>
      <c r="M9" s="6">
        <v>45789.0</v>
      </c>
      <c r="N9" s="8">
        <v>30.0</v>
      </c>
      <c r="O9" s="9">
        <v>2.0</v>
      </c>
      <c r="P9" s="6">
        <v>45849.0</v>
      </c>
      <c r="R9" s="7">
        <v>7918.2</v>
      </c>
      <c r="S9" s="5" t="s">
        <v>34</v>
      </c>
      <c r="T9" s="7">
        <v>7918.2</v>
      </c>
      <c r="U9" s="5" t="s">
        <v>34</v>
      </c>
      <c r="W9" s="5">
        <f>IFERROR(__xludf.DUMMYFUNCTION("If(OR(X9=true, Y9=true), If(P9&gt;Date(2025, 6, 10), Datedif(Date(2025, 6, 10), P9, ""D""), DATEDIF(P9, Date(2025, 6, 10), ""D"") * -1))"),31.0)</f>
        <v>31</v>
      </c>
      <c r="X9" s="5" t="b">
        <f t="shared" si="1"/>
        <v>1</v>
      </c>
      <c r="Y9" s="5" t="b">
        <f t="shared" si="2"/>
        <v>0</v>
      </c>
      <c r="Z9" s="5" t="str">
        <f>IFERROR(__xludf.DUMMYFUNCTION("If(OR(X9=true, Y9=true), if(W9&lt;-60, ""greater 60"",if(W9&lt;-30, ""31-60"", If(W9&lt;0,""0-30"", ""Not mature""))))"),"Not mature")</f>
        <v>Not mature</v>
      </c>
    </row>
    <row r="10" ht="12.75" customHeight="1" outlineLevel="4">
      <c r="A10" s="5" t="s">
        <v>54</v>
      </c>
      <c r="B10" s="6">
        <v>45796.0</v>
      </c>
      <c r="C10" s="5" t="s">
        <v>29</v>
      </c>
      <c r="D10" s="5" t="s">
        <v>55</v>
      </c>
      <c r="E10" s="6">
        <v>45796.0</v>
      </c>
      <c r="G10" s="5" t="s">
        <v>31</v>
      </c>
      <c r="H10" s="5" t="s">
        <v>32</v>
      </c>
      <c r="J10" s="5" t="s">
        <v>33</v>
      </c>
      <c r="L10" s="7">
        <v>3905.54</v>
      </c>
      <c r="M10" s="6">
        <v>45796.0</v>
      </c>
      <c r="N10" s="8">
        <v>30.0</v>
      </c>
      <c r="O10" s="9">
        <v>2.0</v>
      </c>
      <c r="P10" s="6">
        <v>45856.0</v>
      </c>
      <c r="R10" s="7">
        <v>3905.54</v>
      </c>
      <c r="S10" s="5" t="s">
        <v>34</v>
      </c>
      <c r="T10" s="7">
        <v>3905.54</v>
      </c>
      <c r="U10" s="5" t="s">
        <v>34</v>
      </c>
      <c r="W10" s="5">
        <f>IFERROR(__xludf.DUMMYFUNCTION("If(OR(X10=true, Y10=true), If(P10&gt;Date(2025, 6, 10), Datedif(Date(2025, 6, 10), P10, ""D""), DATEDIF(P10, Date(2025, 6, 10), ""D"") * -1))"),38.0)</f>
        <v>38</v>
      </c>
      <c r="X10" s="5" t="b">
        <f t="shared" si="1"/>
        <v>1</v>
      </c>
      <c r="Y10" s="5" t="b">
        <f t="shared" si="2"/>
        <v>0</v>
      </c>
      <c r="Z10" s="5" t="str">
        <f>IFERROR(__xludf.DUMMYFUNCTION("If(OR(X10=true, Y10=true), if(W10&lt;-60, ""greater 60"",if(W10&lt;-30, ""31-60"", If(W10&lt;0,""0-30"", ""Not mature""))))"),"Not mature")</f>
        <v>Not mature</v>
      </c>
    </row>
    <row r="11" ht="12.75" customHeight="1" outlineLevel="3">
      <c r="A11" s="12" t="s">
        <v>56</v>
      </c>
      <c r="B11" s="13"/>
      <c r="C11" s="12"/>
      <c r="D11" s="12"/>
      <c r="E11" s="13"/>
      <c r="F11" s="12"/>
      <c r="G11" s="12"/>
      <c r="H11" s="12"/>
      <c r="I11" s="12"/>
      <c r="J11" s="12"/>
      <c r="K11" s="12"/>
      <c r="L11" s="14"/>
      <c r="M11" s="13"/>
      <c r="N11" s="14"/>
      <c r="O11" s="14"/>
      <c r="P11" s="13"/>
      <c r="Q11" s="12"/>
      <c r="R11" s="15">
        <v>11823.74</v>
      </c>
      <c r="S11" s="12" t="s">
        <v>34</v>
      </c>
      <c r="T11" s="15">
        <v>11823.74</v>
      </c>
      <c r="U11" s="12" t="s">
        <v>34</v>
      </c>
      <c r="V11" s="12"/>
      <c r="W11" s="5" t="b">
        <f>IFERROR(__xludf.DUMMYFUNCTION("If(OR(X11=true, Y11=true), If(P11&gt;Date(2025, 6, 10), Datedif(Date(2025, 6, 10), P11, ""D""), DATEDIF(P11, Date(2025, 6, 10), ""D"") * -1))"),FALSE)</f>
        <v>0</v>
      </c>
      <c r="X11" s="5" t="b">
        <f t="shared" si="1"/>
        <v>0</v>
      </c>
      <c r="Y11" s="5" t="b">
        <f t="shared" si="2"/>
        <v>0</v>
      </c>
      <c r="Z11" s="5" t="b">
        <f>IFERROR(__xludf.DUMMYFUNCTION("If(OR(X11=true, Y11=true), if(W11&lt;-60, ""greater 60"",if(W11&lt;-30, ""31-60"", If(W11&lt;0,""0-30"", ""Not mature""))))"),FALSE)</f>
        <v>0</v>
      </c>
    </row>
    <row r="12" ht="12.75" customHeight="1" outlineLevel="4">
      <c r="A12" s="5" t="s">
        <v>57</v>
      </c>
      <c r="B12" s="6">
        <v>45702.0</v>
      </c>
      <c r="C12" s="5" t="s">
        <v>58</v>
      </c>
      <c r="D12" s="5" t="s">
        <v>59</v>
      </c>
      <c r="E12" s="6">
        <v>45684.0</v>
      </c>
      <c r="G12" s="5" t="s">
        <v>31</v>
      </c>
      <c r="H12" s="5" t="s">
        <v>49</v>
      </c>
      <c r="J12" s="5" t="s">
        <v>33</v>
      </c>
      <c r="L12" s="7">
        <v>-133.45</v>
      </c>
      <c r="M12" s="6">
        <v>45684.0</v>
      </c>
      <c r="N12" s="8">
        <v>0.0</v>
      </c>
      <c r="O12" s="9">
        <v>0.0</v>
      </c>
      <c r="P12" s="6">
        <v>45684.0</v>
      </c>
      <c r="R12" s="7">
        <v>-133.45</v>
      </c>
      <c r="S12" s="5" t="s">
        <v>34</v>
      </c>
      <c r="T12" s="7">
        <v>-133.45</v>
      </c>
      <c r="U12" s="5" t="s">
        <v>34</v>
      </c>
      <c r="W12" s="5">
        <f>IFERROR(__xludf.DUMMYFUNCTION("If(OR(X12=true, Y12=true), If(P12&gt;Date(2025, 6, 10), Datedif(Date(2025, 6, 10), P12, ""D""), DATEDIF(P12, Date(2025, 6, 10), ""D"") * -1))"),-134.0)</f>
        <v>-134</v>
      </c>
      <c r="X12" s="5" t="b">
        <f t="shared" si="1"/>
        <v>0</v>
      </c>
      <c r="Y12" s="5" t="b">
        <f t="shared" si="2"/>
        <v>1</v>
      </c>
      <c r="Z12" s="5" t="str">
        <f>IFERROR(__xludf.DUMMYFUNCTION("If(OR(X12=true, Y12=true), if(W12&lt;-60, ""greater 60"",if(W12&lt;-30, ""31-60"", If(W12&lt;0,""0-30"", ""Not mature""))))"),"greater 60")</f>
        <v>greater 60</v>
      </c>
    </row>
    <row r="13" ht="12.75" customHeight="1" outlineLevel="3">
      <c r="A13" s="12" t="s">
        <v>60</v>
      </c>
      <c r="B13" s="13"/>
      <c r="C13" s="12"/>
      <c r="D13" s="12"/>
      <c r="E13" s="13"/>
      <c r="F13" s="12"/>
      <c r="G13" s="12"/>
      <c r="H13" s="12"/>
      <c r="I13" s="12"/>
      <c r="J13" s="12"/>
      <c r="K13" s="12"/>
      <c r="L13" s="14"/>
      <c r="M13" s="13"/>
      <c r="N13" s="14"/>
      <c r="O13" s="14"/>
      <c r="P13" s="13"/>
      <c r="Q13" s="12"/>
      <c r="R13" s="15">
        <v>-133.45</v>
      </c>
      <c r="S13" s="12" t="s">
        <v>34</v>
      </c>
      <c r="T13" s="15">
        <v>-133.45</v>
      </c>
      <c r="U13" s="12" t="s">
        <v>34</v>
      </c>
      <c r="V13" s="12"/>
      <c r="W13" s="5" t="b">
        <f>IFERROR(__xludf.DUMMYFUNCTION("If(OR(X13=true, Y13=true), If(P13&gt;Date(2025, 6, 10), Datedif(Date(2025, 6, 10), P13, ""D""), DATEDIF(P13, Date(2025, 6, 10), ""D"") * -1))"),FALSE)</f>
        <v>0</v>
      </c>
      <c r="X13" s="5" t="b">
        <f t="shared" si="1"/>
        <v>0</v>
      </c>
      <c r="Y13" s="5" t="b">
        <f t="shared" si="2"/>
        <v>0</v>
      </c>
      <c r="Z13" s="5" t="b">
        <f>IFERROR(__xludf.DUMMYFUNCTION("If(OR(X13=true, Y13=true), if(W13&lt;-60, ""greater 60"",if(W13&lt;-30, ""31-60"", If(W13&lt;0,""0-30"", ""Not mature""))))"),FALSE)</f>
        <v>0</v>
      </c>
    </row>
    <row r="14" ht="12.75" customHeight="1" outlineLevel="4">
      <c r="A14" s="5" t="s">
        <v>61</v>
      </c>
      <c r="B14" s="6">
        <v>45797.0</v>
      </c>
      <c r="C14" s="5" t="s">
        <v>29</v>
      </c>
      <c r="D14" s="5" t="s">
        <v>62</v>
      </c>
      <c r="E14" s="6">
        <v>45797.0</v>
      </c>
      <c r="G14" s="5" t="s">
        <v>31</v>
      </c>
      <c r="H14" s="5" t="s">
        <v>32</v>
      </c>
      <c r="J14" s="5" t="s">
        <v>33</v>
      </c>
      <c r="L14" s="7">
        <v>36159.34</v>
      </c>
      <c r="M14" s="6">
        <v>45797.0</v>
      </c>
      <c r="N14" s="8">
        <v>45.0</v>
      </c>
      <c r="O14" s="9">
        <v>3.0</v>
      </c>
      <c r="P14" s="6">
        <v>45857.0</v>
      </c>
      <c r="R14" s="7">
        <v>36159.34</v>
      </c>
      <c r="S14" s="5" t="s">
        <v>34</v>
      </c>
      <c r="T14" s="7">
        <v>36159.34</v>
      </c>
      <c r="U14" s="5" t="s">
        <v>34</v>
      </c>
      <c r="W14" s="5">
        <f>IFERROR(__xludf.DUMMYFUNCTION("If(OR(X14=true, Y14=true), If(P14&gt;Date(2025, 6, 10), Datedif(Date(2025, 6, 10), P14, ""D""), DATEDIF(P14, Date(2025, 6, 10), ""D"") * -1))"),39.0)</f>
        <v>39</v>
      </c>
      <c r="X14" s="5" t="b">
        <f t="shared" si="1"/>
        <v>1</v>
      </c>
      <c r="Y14" s="5" t="b">
        <f t="shared" si="2"/>
        <v>0</v>
      </c>
      <c r="Z14" s="5" t="str">
        <f>IFERROR(__xludf.DUMMYFUNCTION("If(OR(X14=true, Y14=true), if(W14&lt;-60, ""greater 60"",if(W14&lt;-30, ""31-60"", If(W14&lt;0,""0-30"", ""Not mature""))))"),"Not mature")</f>
        <v>Not mature</v>
      </c>
    </row>
    <row r="15" ht="12.75" customHeight="1" outlineLevel="4">
      <c r="A15" s="5" t="s">
        <v>63</v>
      </c>
      <c r="B15" s="6">
        <v>45798.0</v>
      </c>
      <c r="C15" s="5" t="s">
        <v>29</v>
      </c>
      <c r="D15" s="5" t="s">
        <v>64</v>
      </c>
      <c r="E15" s="6">
        <v>45798.0</v>
      </c>
      <c r="G15" s="5" t="s">
        <v>31</v>
      </c>
      <c r="H15" s="5" t="s">
        <v>32</v>
      </c>
      <c r="J15" s="5" t="s">
        <v>33</v>
      </c>
      <c r="L15" s="7">
        <v>3601.18</v>
      </c>
      <c r="M15" s="6">
        <v>45798.0</v>
      </c>
      <c r="N15" s="8">
        <v>45.0</v>
      </c>
      <c r="O15" s="9">
        <v>3.0</v>
      </c>
      <c r="P15" s="6">
        <v>45858.0</v>
      </c>
      <c r="R15" s="7">
        <v>3601.18</v>
      </c>
      <c r="S15" s="5" t="s">
        <v>34</v>
      </c>
      <c r="T15" s="7">
        <v>3601.18</v>
      </c>
      <c r="U15" s="5" t="s">
        <v>34</v>
      </c>
      <c r="W15" s="5">
        <f>IFERROR(__xludf.DUMMYFUNCTION("If(OR(X15=true, Y15=true), If(P15&gt;Date(2025, 6, 10), Datedif(Date(2025, 6, 10), P15, ""D""), DATEDIF(P15, Date(2025, 6, 10), ""D"") * -1))"),40.0)</f>
        <v>40</v>
      </c>
      <c r="X15" s="5" t="b">
        <f t="shared" si="1"/>
        <v>1</v>
      </c>
      <c r="Y15" s="5" t="b">
        <f t="shared" si="2"/>
        <v>0</v>
      </c>
      <c r="Z15" s="5" t="str">
        <f>IFERROR(__xludf.DUMMYFUNCTION("If(OR(X15=true, Y15=true), if(W15&lt;-60, ""greater 60"",if(W15&lt;-30, ""31-60"", If(W15&lt;0,""0-30"", ""Not mature""))))"),"Not mature")</f>
        <v>Not mature</v>
      </c>
    </row>
    <row r="16" ht="12.75" customHeight="1" outlineLevel="4">
      <c r="A16" s="5" t="s">
        <v>65</v>
      </c>
      <c r="B16" s="6">
        <v>45798.0</v>
      </c>
      <c r="C16" s="5" t="s">
        <v>29</v>
      </c>
      <c r="D16" s="5" t="s">
        <v>66</v>
      </c>
      <c r="E16" s="6">
        <v>45798.0</v>
      </c>
      <c r="G16" s="5" t="s">
        <v>31</v>
      </c>
      <c r="H16" s="5" t="s">
        <v>32</v>
      </c>
      <c r="J16" s="5" t="s">
        <v>33</v>
      </c>
      <c r="L16" s="7">
        <v>3102.51</v>
      </c>
      <c r="M16" s="6">
        <v>45798.0</v>
      </c>
      <c r="N16" s="8">
        <v>45.0</v>
      </c>
      <c r="O16" s="9">
        <v>3.0</v>
      </c>
      <c r="P16" s="6">
        <v>45858.0</v>
      </c>
      <c r="R16" s="7">
        <v>3102.51</v>
      </c>
      <c r="S16" s="5" t="s">
        <v>34</v>
      </c>
      <c r="T16" s="7">
        <v>3102.51</v>
      </c>
      <c r="U16" s="5" t="s">
        <v>34</v>
      </c>
      <c r="W16" s="5">
        <f>IFERROR(__xludf.DUMMYFUNCTION("If(OR(X16=true, Y16=true), If(P16&gt;Date(2025, 6, 10), Datedif(Date(2025, 6, 10), P16, ""D""), DATEDIF(P16, Date(2025, 6, 10), ""D"") * -1))"),40.0)</f>
        <v>40</v>
      </c>
      <c r="X16" s="5" t="b">
        <f t="shared" si="1"/>
        <v>1</v>
      </c>
      <c r="Y16" s="5" t="b">
        <f t="shared" si="2"/>
        <v>0</v>
      </c>
      <c r="Z16" s="5" t="str">
        <f>IFERROR(__xludf.DUMMYFUNCTION("If(OR(X16=true, Y16=true), if(W16&lt;-60, ""greater 60"",if(W16&lt;-30, ""31-60"", If(W16&lt;0,""0-30"", ""Not mature""))))"),"Not mature")</f>
        <v>Not mature</v>
      </c>
    </row>
    <row r="17" ht="12.75" customHeight="1" outlineLevel="3">
      <c r="A17" s="12" t="s">
        <v>67</v>
      </c>
      <c r="B17" s="13"/>
      <c r="C17" s="12"/>
      <c r="D17" s="12"/>
      <c r="E17" s="13"/>
      <c r="F17" s="12"/>
      <c r="G17" s="12"/>
      <c r="H17" s="12"/>
      <c r="I17" s="12"/>
      <c r="J17" s="12"/>
      <c r="K17" s="12"/>
      <c r="L17" s="14"/>
      <c r="M17" s="13"/>
      <c r="N17" s="14"/>
      <c r="O17" s="14"/>
      <c r="P17" s="13"/>
      <c r="Q17" s="12"/>
      <c r="R17" s="15">
        <v>42863.03</v>
      </c>
      <c r="S17" s="12" t="s">
        <v>34</v>
      </c>
      <c r="T17" s="15">
        <v>42863.03</v>
      </c>
      <c r="U17" s="12" t="s">
        <v>34</v>
      </c>
      <c r="V17" s="12"/>
      <c r="W17" s="5" t="b">
        <f>IFERROR(__xludf.DUMMYFUNCTION("If(OR(X17=true, Y17=true), If(P17&gt;Date(2025, 6, 10), Datedif(Date(2025, 6, 10), P17, ""D""), DATEDIF(P17, Date(2025, 6, 10), ""D"") * -1))"),FALSE)</f>
        <v>0</v>
      </c>
      <c r="X17" s="5" t="b">
        <f t="shared" si="1"/>
        <v>0</v>
      </c>
      <c r="Y17" s="5" t="b">
        <f t="shared" si="2"/>
        <v>0</v>
      </c>
      <c r="Z17" s="5" t="b">
        <f>IFERROR(__xludf.DUMMYFUNCTION("If(OR(X17=true, Y17=true), if(W17&lt;-60, ""greater 60"",if(W17&lt;-30, ""31-60"", If(W17&lt;0,""0-30"", ""Not mature""))))"),FALSE)</f>
        <v>0</v>
      </c>
    </row>
    <row r="18" ht="12.75" customHeight="1" outlineLevel="4">
      <c r="A18" s="5" t="s">
        <v>68</v>
      </c>
      <c r="B18" s="6">
        <v>45684.0</v>
      </c>
      <c r="C18" s="5" t="s">
        <v>29</v>
      </c>
      <c r="D18" s="5" t="s">
        <v>69</v>
      </c>
      <c r="E18" s="6">
        <v>45684.0</v>
      </c>
      <c r="G18" s="5" t="s">
        <v>31</v>
      </c>
      <c r="H18" s="5" t="s">
        <v>49</v>
      </c>
      <c r="J18" s="5" t="s">
        <v>33</v>
      </c>
      <c r="L18" s="7">
        <v>-98.76</v>
      </c>
      <c r="M18" s="6">
        <v>45684.0</v>
      </c>
      <c r="N18" s="8">
        <v>45.0</v>
      </c>
      <c r="O18" s="9">
        <v>3.0</v>
      </c>
      <c r="P18" s="6">
        <v>45684.0</v>
      </c>
      <c r="R18" s="7">
        <v>-98.76</v>
      </c>
      <c r="S18" s="5" t="s">
        <v>34</v>
      </c>
      <c r="T18" s="7">
        <v>-98.76</v>
      </c>
      <c r="U18" s="5" t="s">
        <v>34</v>
      </c>
      <c r="W18" s="5">
        <f>IFERROR(__xludf.DUMMYFUNCTION("If(OR(X18=true, Y18=true), If(P18&gt;Date(2025, 6, 10), Datedif(Date(2025, 6, 10), P18, ""D""), DATEDIF(P18, Date(2025, 6, 10), ""D"") * -1))"),-134.0)</f>
        <v>-134</v>
      </c>
      <c r="X18" s="5" t="b">
        <f t="shared" si="1"/>
        <v>0</v>
      </c>
      <c r="Y18" s="5" t="b">
        <f t="shared" si="2"/>
        <v>1</v>
      </c>
      <c r="Z18" s="5" t="str">
        <f>IFERROR(__xludf.DUMMYFUNCTION("If(OR(X18=true, Y18=true), if(W18&lt;-60, ""greater 60"",if(W18&lt;-30, ""31-60"", If(W18&lt;0,""0-30"", ""Not mature""))))"),"greater 60")</f>
        <v>greater 60</v>
      </c>
    </row>
    <row r="19" ht="12.75" customHeight="1" outlineLevel="3">
      <c r="A19" s="12" t="s">
        <v>70</v>
      </c>
      <c r="B19" s="13"/>
      <c r="C19" s="12"/>
      <c r="D19" s="12"/>
      <c r="E19" s="13"/>
      <c r="F19" s="12"/>
      <c r="G19" s="12"/>
      <c r="H19" s="12"/>
      <c r="I19" s="12"/>
      <c r="J19" s="12"/>
      <c r="K19" s="12"/>
      <c r="L19" s="14"/>
      <c r="M19" s="13"/>
      <c r="N19" s="14"/>
      <c r="O19" s="14"/>
      <c r="P19" s="13"/>
      <c r="Q19" s="12"/>
      <c r="R19" s="15">
        <v>-98.76</v>
      </c>
      <c r="S19" s="12" t="s">
        <v>34</v>
      </c>
      <c r="T19" s="15">
        <v>-98.76</v>
      </c>
      <c r="U19" s="12" t="s">
        <v>34</v>
      </c>
      <c r="V19" s="12"/>
      <c r="W19" s="5" t="b">
        <f>IFERROR(__xludf.DUMMYFUNCTION("If(OR(X19=true, Y19=true), If(P19&gt;Date(2025, 6, 10), Datedif(Date(2025, 6, 10), P19, ""D""), DATEDIF(P19, Date(2025, 6, 10), ""D"") * -1))"),FALSE)</f>
        <v>0</v>
      </c>
      <c r="X19" s="5" t="b">
        <f t="shared" si="1"/>
        <v>0</v>
      </c>
      <c r="Y19" s="5" t="b">
        <f t="shared" si="2"/>
        <v>0</v>
      </c>
      <c r="Z19" s="5" t="b">
        <f>IFERROR(__xludf.DUMMYFUNCTION("If(OR(X19=true, Y19=true), if(W19&lt;-60, ""greater 60"",if(W19&lt;-30, ""31-60"", If(W19&lt;0,""0-30"", ""Not mature""))))"),FALSE)</f>
        <v>0</v>
      </c>
    </row>
    <row r="20" ht="12.75" customHeight="1" outlineLevel="4">
      <c r="A20" s="5" t="s">
        <v>71</v>
      </c>
      <c r="B20" s="6">
        <v>45796.0</v>
      </c>
      <c r="C20" s="5" t="s">
        <v>29</v>
      </c>
      <c r="D20" s="5" t="s">
        <v>72</v>
      </c>
      <c r="E20" s="6">
        <v>45796.0</v>
      </c>
      <c r="G20" s="5" t="s">
        <v>31</v>
      </c>
      <c r="H20" s="5" t="s">
        <v>32</v>
      </c>
      <c r="J20" s="5" t="s">
        <v>33</v>
      </c>
      <c r="L20" s="7">
        <v>8380.9</v>
      </c>
      <c r="M20" s="6">
        <v>45796.0</v>
      </c>
      <c r="N20" s="8">
        <v>30.0</v>
      </c>
      <c r="O20" s="9">
        <v>3.0</v>
      </c>
      <c r="P20" s="6">
        <v>45856.0</v>
      </c>
      <c r="R20" s="7">
        <v>8380.9</v>
      </c>
      <c r="S20" s="5" t="s">
        <v>34</v>
      </c>
      <c r="T20" s="7">
        <v>8380.9</v>
      </c>
      <c r="U20" s="5" t="s">
        <v>34</v>
      </c>
      <c r="W20" s="5">
        <f>IFERROR(__xludf.DUMMYFUNCTION("If(OR(X20=true, Y20=true), If(P20&gt;Date(2025, 6, 10), Datedif(Date(2025, 6, 10), P20, ""D""), DATEDIF(P20, Date(2025, 6, 10), ""D"") * -1))"),38.0)</f>
        <v>38</v>
      </c>
      <c r="X20" s="5" t="b">
        <f t="shared" si="1"/>
        <v>1</v>
      </c>
      <c r="Y20" s="5" t="b">
        <f t="shared" si="2"/>
        <v>0</v>
      </c>
      <c r="Z20" s="5" t="str">
        <f>IFERROR(__xludf.DUMMYFUNCTION("If(OR(X20=true, Y20=true), if(W20&lt;-60, ""greater 60"",if(W20&lt;-30, ""31-60"", If(W20&lt;0,""0-30"", ""Not mature""))))"),"Not mature")</f>
        <v>Not mature</v>
      </c>
    </row>
    <row r="21" ht="12.75" customHeight="1" outlineLevel="3">
      <c r="A21" s="12" t="s">
        <v>73</v>
      </c>
      <c r="B21" s="13"/>
      <c r="C21" s="12"/>
      <c r="D21" s="12"/>
      <c r="E21" s="13"/>
      <c r="F21" s="12"/>
      <c r="G21" s="12"/>
      <c r="H21" s="12"/>
      <c r="I21" s="12"/>
      <c r="J21" s="12"/>
      <c r="K21" s="12"/>
      <c r="L21" s="14"/>
      <c r="M21" s="13"/>
      <c r="N21" s="14"/>
      <c r="O21" s="14"/>
      <c r="P21" s="13"/>
      <c r="Q21" s="12"/>
      <c r="R21" s="15">
        <v>8380.9</v>
      </c>
      <c r="S21" s="12" t="s">
        <v>34</v>
      </c>
      <c r="T21" s="15">
        <v>8380.9</v>
      </c>
      <c r="U21" s="12" t="s">
        <v>34</v>
      </c>
      <c r="V21" s="12"/>
      <c r="W21" s="5" t="b">
        <f>IFERROR(__xludf.DUMMYFUNCTION("If(OR(X21=true, Y21=true), If(P21&gt;Date(2025, 6, 10), Datedif(Date(2025, 6, 10), P21, ""D""), DATEDIF(P21, Date(2025, 6, 10), ""D"") * -1))"),FALSE)</f>
        <v>0</v>
      </c>
      <c r="X21" s="5" t="b">
        <f t="shared" si="1"/>
        <v>0</v>
      </c>
      <c r="Y21" s="5" t="b">
        <f t="shared" si="2"/>
        <v>0</v>
      </c>
      <c r="Z21" s="5" t="b">
        <f>IFERROR(__xludf.DUMMYFUNCTION("If(OR(X21=true, Y21=true), if(W21&lt;-60, ""greater 60"",if(W21&lt;-30, ""31-60"", If(W21&lt;0,""0-30"", ""Not mature""))))"),FALSE)</f>
        <v>0</v>
      </c>
    </row>
    <row r="22" ht="12.75" customHeight="1" outlineLevel="4">
      <c r="A22" s="5" t="s">
        <v>74</v>
      </c>
      <c r="B22" s="6">
        <v>45770.0</v>
      </c>
      <c r="C22" s="5" t="s">
        <v>29</v>
      </c>
      <c r="D22" s="5" t="s">
        <v>75</v>
      </c>
      <c r="E22" s="6">
        <v>45770.0</v>
      </c>
      <c r="G22" s="5" t="s">
        <v>31</v>
      </c>
      <c r="H22" s="5" t="s">
        <v>49</v>
      </c>
      <c r="J22" s="5" t="s">
        <v>33</v>
      </c>
      <c r="L22" s="7">
        <v>-416.51</v>
      </c>
      <c r="M22" s="6">
        <v>45770.0</v>
      </c>
      <c r="N22" s="8">
        <v>14.0</v>
      </c>
      <c r="O22" s="9">
        <v>3.0</v>
      </c>
      <c r="P22" s="6">
        <v>45770.0</v>
      </c>
      <c r="R22" s="7">
        <v>-416.51</v>
      </c>
      <c r="S22" s="5" t="s">
        <v>34</v>
      </c>
      <c r="T22" s="7">
        <v>-416.51</v>
      </c>
      <c r="U22" s="5" t="s">
        <v>34</v>
      </c>
      <c r="W22" s="5">
        <f>IFERROR(__xludf.DUMMYFUNCTION("If(OR(X22=true, Y22=true), If(P22&gt;Date(2025, 6, 10), Datedif(Date(2025, 6, 10), P22, ""D""), DATEDIF(P22, Date(2025, 6, 10), ""D"") * -1))"),-48.0)</f>
        <v>-48</v>
      </c>
      <c r="X22" s="5" t="b">
        <f t="shared" si="1"/>
        <v>0</v>
      </c>
      <c r="Y22" s="5" t="b">
        <f t="shared" si="2"/>
        <v>1</v>
      </c>
      <c r="Z22" s="5" t="str">
        <f>IFERROR(__xludf.DUMMYFUNCTION("If(OR(X22=true, Y22=true), if(W22&lt;-60, ""greater 60"",if(W22&lt;-30, ""31-60"", If(W22&lt;0,""0-30"", ""Not mature""))))"),"31-60")</f>
        <v>31-60</v>
      </c>
    </row>
    <row r="23" ht="12.75" customHeight="1" outlineLevel="3">
      <c r="A23" s="12" t="s">
        <v>76</v>
      </c>
      <c r="B23" s="13"/>
      <c r="C23" s="12"/>
      <c r="D23" s="12"/>
      <c r="E23" s="13"/>
      <c r="F23" s="12"/>
      <c r="G23" s="12"/>
      <c r="H23" s="12"/>
      <c r="I23" s="12"/>
      <c r="J23" s="12"/>
      <c r="K23" s="12"/>
      <c r="L23" s="14"/>
      <c r="M23" s="13"/>
      <c r="N23" s="14"/>
      <c r="O23" s="14"/>
      <c r="P23" s="13"/>
      <c r="Q23" s="12"/>
      <c r="R23" s="15">
        <v>-416.51</v>
      </c>
      <c r="S23" s="12" t="s">
        <v>34</v>
      </c>
      <c r="T23" s="15">
        <v>-416.51</v>
      </c>
      <c r="U23" s="12" t="s">
        <v>34</v>
      </c>
      <c r="V23" s="12"/>
      <c r="W23" s="5" t="b">
        <f>IFERROR(__xludf.DUMMYFUNCTION("If(OR(X23=true, Y23=true), If(P23&gt;Date(2025, 6, 10), Datedif(Date(2025, 6, 10), P23, ""D""), DATEDIF(P23, Date(2025, 6, 10), ""D"") * -1))"),FALSE)</f>
        <v>0</v>
      </c>
      <c r="X23" s="5" t="b">
        <f t="shared" si="1"/>
        <v>0</v>
      </c>
      <c r="Y23" s="5" t="b">
        <f t="shared" si="2"/>
        <v>0</v>
      </c>
      <c r="Z23" s="5" t="b">
        <f>IFERROR(__xludf.DUMMYFUNCTION("If(OR(X23=true, Y23=true), if(W23&lt;-60, ""greater 60"",if(W23&lt;-30, ""31-60"", If(W23&lt;0,""0-30"", ""Not mature""))))"),FALSE)</f>
        <v>0</v>
      </c>
    </row>
    <row r="24" ht="12.75" customHeight="1" outlineLevel="4">
      <c r="A24" s="5" t="s">
        <v>77</v>
      </c>
      <c r="B24" s="6">
        <v>45790.0</v>
      </c>
      <c r="C24" s="5" t="s">
        <v>29</v>
      </c>
      <c r="D24" s="5" t="s">
        <v>78</v>
      </c>
      <c r="E24" s="6">
        <v>45790.0</v>
      </c>
      <c r="G24" s="5" t="s">
        <v>31</v>
      </c>
      <c r="H24" s="5" t="s">
        <v>49</v>
      </c>
      <c r="J24" s="5" t="s">
        <v>33</v>
      </c>
      <c r="L24" s="7">
        <v>-547.17</v>
      </c>
      <c r="M24" s="6">
        <v>45790.0</v>
      </c>
      <c r="N24" s="8">
        <v>30.0</v>
      </c>
      <c r="O24" s="9">
        <v>0.0</v>
      </c>
      <c r="P24" s="6">
        <v>45790.0</v>
      </c>
      <c r="R24" s="7">
        <v>-547.17</v>
      </c>
      <c r="S24" s="5" t="s">
        <v>34</v>
      </c>
      <c r="T24" s="7">
        <v>-547.17</v>
      </c>
      <c r="U24" s="5" t="s">
        <v>34</v>
      </c>
      <c r="W24" s="5">
        <f>IFERROR(__xludf.DUMMYFUNCTION("If(OR(X24=true, Y24=true), If(P24&gt;Date(2025, 6, 10), Datedif(Date(2025, 6, 10), P24, ""D""), DATEDIF(P24, Date(2025, 6, 10), ""D"") * -1))"),-28.0)</f>
        <v>-28</v>
      </c>
      <c r="X24" s="5" t="b">
        <f t="shared" si="1"/>
        <v>0</v>
      </c>
      <c r="Y24" s="5" t="b">
        <f t="shared" si="2"/>
        <v>1</v>
      </c>
      <c r="Z24" s="5" t="str">
        <f>IFERROR(__xludf.DUMMYFUNCTION("If(OR(X24=true, Y24=true), if(W24&lt;-60, ""greater 60"",if(W24&lt;-30, ""31-60"", If(W24&lt;0,""0-30"", ""Not mature""))))"),"0-30")</f>
        <v>0-30</v>
      </c>
    </row>
    <row r="25" ht="12.75" customHeight="1" outlineLevel="4">
      <c r="A25" s="5" t="s">
        <v>79</v>
      </c>
      <c r="B25" s="6">
        <v>45799.0</v>
      </c>
      <c r="C25" s="5" t="s">
        <v>29</v>
      </c>
      <c r="D25" s="5" t="s">
        <v>80</v>
      </c>
      <c r="E25" s="6">
        <v>45799.0</v>
      </c>
      <c r="G25" s="5" t="s">
        <v>31</v>
      </c>
      <c r="H25" s="5" t="s">
        <v>32</v>
      </c>
      <c r="J25" s="5" t="s">
        <v>33</v>
      </c>
      <c r="L25" s="7">
        <v>6622.35</v>
      </c>
      <c r="M25" s="6">
        <v>45799.0</v>
      </c>
      <c r="N25" s="8">
        <v>30.0</v>
      </c>
      <c r="O25" s="9">
        <v>0.0</v>
      </c>
      <c r="P25" s="6">
        <v>45829.0</v>
      </c>
      <c r="R25" s="7">
        <v>6622.35</v>
      </c>
      <c r="S25" s="5" t="s">
        <v>34</v>
      </c>
      <c r="T25" s="7">
        <v>6622.35</v>
      </c>
      <c r="U25" s="5" t="s">
        <v>34</v>
      </c>
      <c r="W25" s="5">
        <f>IFERROR(__xludf.DUMMYFUNCTION("If(OR(X25=true, Y25=true), If(P25&gt;Date(2025, 6, 10), Datedif(Date(2025, 6, 10), P25, ""D""), DATEDIF(P25, Date(2025, 6, 10), ""D"") * -1))"),11.0)</f>
        <v>11</v>
      </c>
      <c r="X25" s="5" t="b">
        <f t="shared" si="1"/>
        <v>1</v>
      </c>
      <c r="Y25" s="5" t="b">
        <f t="shared" si="2"/>
        <v>0</v>
      </c>
      <c r="Z25" s="5" t="str">
        <f>IFERROR(__xludf.DUMMYFUNCTION("If(OR(X25=true, Y25=true), if(W25&lt;-60, ""greater 60"",if(W25&lt;-30, ""31-60"", If(W25&lt;0,""0-30"", ""Not mature""))))"),"Not mature")</f>
        <v>Not mature</v>
      </c>
    </row>
    <row r="26" ht="12.75" customHeight="1" outlineLevel="3">
      <c r="A26" s="12" t="s">
        <v>81</v>
      </c>
      <c r="B26" s="13"/>
      <c r="C26" s="12"/>
      <c r="D26" s="12"/>
      <c r="E26" s="13"/>
      <c r="F26" s="12"/>
      <c r="G26" s="12"/>
      <c r="H26" s="12"/>
      <c r="I26" s="12"/>
      <c r="J26" s="12"/>
      <c r="K26" s="12"/>
      <c r="L26" s="14"/>
      <c r="M26" s="13"/>
      <c r="N26" s="14"/>
      <c r="O26" s="14"/>
      <c r="P26" s="13"/>
      <c r="Q26" s="12"/>
      <c r="R26" s="15">
        <v>6075.18</v>
      </c>
      <c r="S26" s="12" t="s">
        <v>34</v>
      </c>
      <c r="T26" s="15">
        <v>6075.18</v>
      </c>
      <c r="U26" s="12" t="s">
        <v>34</v>
      </c>
      <c r="V26" s="12"/>
      <c r="W26" s="5" t="b">
        <f>IFERROR(__xludf.DUMMYFUNCTION("If(OR(X26=true, Y26=true), If(P26&gt;Date(2025, 6, 10), Datedif(Date(2025, 6, 10), P26, ""D""), DATEDIF(P26, Date(2025, 6, 10), ""D"") * -1))"),FALSE)</f>
        <v>0</v>
      </c>
      <c r="X26" s="5" t="b">
        <f t="shared" si="1"/>
        <v>0</v>
      </c>
      <c r="Y26" s="5" t="b">
        <f t="shared" si="2"/>
        <v>0</v>
      </c>
      <c r="Z26" s="5" t="b">
        <f>IFERROR(__xludf.DUMMYFUNCTION("If(OR(X26=true, Y26=true), if(W26&lt;-60, ""greater 60"",if(W26&lt;-30, ""31-60"", If(W26&lt;0,""0-30"", ""Not mature""))))"),FALSE)</f>
        <v>0</v>
      </c>
    </row>
    <row r="27" ht="12.75" customHeight="1" outlineLevel="4">
      <c r="A27" s="5" t="s">
        <v>82</v>
      </c>
      <c r="B27" s="6">
        <v>45772.0</v>
      </c>
      <c r="C27" s="5" t="s">
        <v>29</v>
      </c>
      <c r="D27" s="5" t="s">
        <v>83</v>
      </c>
      <c r="E27" s="6">
        <v>45772.0</v>
      </c>
      <c r="G27" s="5" t="s">
        <v>31</v>
      </c>
      <c r="H27" s="5" t="s">
        <v>32</v>
      </c>
      <c r="J27" s="5" t="s">
        <v>33</v>
      </c>
      <c r="L27" s="7">
        <v>3443.19</v>
      </c>
      <c r="M27" s="6">
        <v>45772.0</v>
      </c>
      <c r="N27" s="8">
        <v>14.0</v>
      </c>
      <c r="O27" s="9">
        <v>3.0</v>
      </c>
      <c r="P27" s="6">
        <v>45802.0</v>
      </c>
      <c r="R27" s="7">
        <v>3443.19</v>
      </c>
      <c r="S27" s="5" t="s">
        <v>34</v>
      </c>
      <c r="T27" s="7">
        <v>3443.19</v>
      </c>
      <c r="U27" s="5" t="s">
        <v>34</v>
      </c>
      <c r="W27" s="5">
        <f>IFERROR(__xludf.DUMMYFUNCTION("If(OR(X27=true, Y27=true), If(P27&gt;Date(2025, 6, 10), Datedif(Date(2025, 6, 10), P27, ""D""), DATEDIF(P27, Date(2025, 6, 10), ""D"") * -1))"),-16.0)</f>
        <v>-16</v>
      </c>
      <c r="X27" s="5" t="b">
        <f t="shared" si="1"/>
        <v>1</v>
      </c>
      <c r="Y27" s="5" t="b">
        <f t="shared" si="2"/>
        <v>0</v>
      </c>
      <c r="Z27" s="5" t="str">
        <f>IFERROR(__xludf.DUMMYFUNCTION("If(OR(X27=true, Y27=true), if(W27&lt;-60, ""greater 60"",if(W27&lt;-30, ""31-60"", If(W27&lt;0,""0-30"", ""Not mature""))))"),"0-30")</f>
        <v>0-30</v>
      </c>
    </row>
    <row r="28" ht="12.75" customHeight="1" outlineLevel="3">
      <c r="A28" s="12" t="s">
        <v>84</v>
      </c>
      <c r="B28" s="13"/>
      <c r="C28" s="12"/>
      <c r="D28" s="12"/>
      <c r="E28" s="13"/>
      <c r="F28" s="12"/>
      <c r="G28" s="12"/>
      <c r="H28" s="12"/>
      <c r="I28" s="12"/>
      <c r="J28" s="12"/>
      <c r="K28" s="12"/>
      <c r="L28" s="14"/>
      <c r="M28" s="13"/>
      <c r="N28" s="14"/>
      <c r="O28" s="14"/>
      <c r="P28" s="13"/>
      <c r="Q28" s="12"/>
      <c r="R28" s="15">
        <v>3443.19</v>
      </c>
      <c r="S28" s="12" t="s">
        <v>34</v>
      </c>
      <c r="T28" s="15">
        <v>3443.19</v>
      </c>
      <c r="U28" s="12" t="s">
        <v>34</v>
      </c>
      <c r="V28" s="12"/>
      <c r="W28" s="5" t="b">
        <f>IFERROR(__xludf.DUMMYFUNCTION("If(OR(X28=true, Y28=true), If(P28&gt;Date(2025, 6, 10), Datedif(Date(2025, 6, 10), P28, ""D""), DATEDIF(P28, Date(2025, 6, 10), ""D"") * -1))"),FALSE)</f>
        <v>0</v>
      </c>
      <c r="X28" s="5" t="b">
        <f t="shared" si="1"/>
        <v>0</v>
      </c>
      <c r="Y28" s="5" t="b">
        <f t="shared" si="2"/>
        <v>0</v>
      </c>
      <c r="Z28" s="5" t="b">
        <f>IFERROR(__xludf.DUMMYFUNCTION("If(OR(X28=true, Y28=true), if(W28&lt;-60, ""greater 60"",if(W28&lt;-30, ""31-60"", If(W28&lt;0,""0-30"", ""Not mature""))))"),FALSE)</f>
        <v>0</v>
      </c>
    </row>
    <row r="29" ht="12.75" customHeight="1" outlineLevel="4">
      <c r="A29" s="5" t="s">
        <v>85</v>
      </c>
      <c r="B29" s="6">
        <v>45748.0</v>
      </c>
      <c r="C29" s="5" t="s">
        <v>29</v>
      </c>
      <c r="D29" s="5" t="s">
        <v>86</v>
      </c>
      <c r="E29" s="6">
        <v>45748.0</v>
      </c>
      <c r="G29" s="5" t="s">
        <v>31</v>
      </c>
      <c r="H29" s="5" t="s">
        <v>32</v>
      </c>
      <c r="J29" s="5" t="s">
        <v>33</v>
      </c>
      <c r="L29" s="7">
        <v>1755.84</v>
      </c>
      <c r="M29" s="6">
        <v>45748.0</v>
      </c>
      <c r="N29" s="8">
        <v>100.0</v>
      </c>
      <c r="O29" s="9">
        <v>0.0</v>
      </c>
      <c r="P29" s="6">
        <v>45848.0</v>
      </c>
      <c r="R29" s="7">
        <v>1755.84</v>
      </c>
      <c r="S29" s="5" t="s">
        <v>34</v>
      </c>
      <c r="T29" s="7">
        <v>1755.84</v>
      </c>
      <c r="U29" s="5" t="s">
        <v>34</v>
      </c>
      <c r="W29" s="5">
        <f>IFERROR(__xludf.DUMMYFUNCTION("If(OR(X29=true, Y29=true), If(P29&gt;Date(2025, 6, 10), Datedif(Date(2025, 6, 10), P29, ""D""), DATEDIF(P29, Date(2025, 6, 10), ""D"") * -1))"),30.0)</f>
        <v>30</v>
      </c>
      <c r="X29" s="5" t="b">
        <f t="shared" si="1"/>
        <v>1</v>
      </c>
      <c r="Y29" s="5" t="b">
        <f t="shared" si="2"/>
        <v>0</v>
      </c>
      <c r="Z29" s="5" t="str">
        <f>IFERROR(__xludf.DUMMYFUNCTION("If(OR(X29=true, Y29=true), if(W29&lt;-60, ""greater 60"",if(W29&lt;-30, ""31-60"", If(W29&lt;0,""0-30"", ""Not mature""))))"),"Not mature")</f>
        <v>Not mature</v>
      </c>
    </row>
    <row r="30" ht="12.75" customHeight="1" outlineLevel="4">
      <c r="A30" s="5" t="s">
        <v>87</v>
      </c>
      <c r="B30" s="6">
        <v>45789.0</v>
      </c>
      <c r="C30" s="5" t="s">
        <v>29</v>
      </c>
      <c r="D30" s="5" t="s">
        <v>88</v>
      </c>
      <c r="E30" s="6">
        <v>45789.0</v>
      </c>
      <c r="G30" s="5" t="s">
        <v>31</v>
      </c>
      <c r="H30" s="5" t="s">
        <v>32</v>
      </c>
      <c r="J30" s="5" t="s">
        <v>33</v>
      </c>
      <c r="L30" s="7">
        <v>3805.68</v>
      </c>
      <c r="M30" s="6">
        <v>45789.0</v>
      </c>
      <c r="N30" s="8">
        <v>90.0</v>
      </c>
      <c r="O30" s="9">
        <v>0.0</v>
      </c>
      <c r="P30" s="6">
        <v>45879.0</v>
      </c>
      <c r="R30" s="7">
        <v>3805.68</v>
      </c>
      <c r="S30" s="5" t="s">
        <v>34</v>
      </c>
      <c r="T30" s="7">
        <v>3805.68</v>
      </c>
      <c r="U30" s="5" t="s">
        <v>34</v>
      </c>
      <c r="W30" s="5">
        <f>IFERROR(__xludf.DUMMYFUNCTION("If(OR(X30=true, Y30=true), If(P30&gt;Date(2025, 6, 10), Datedif(Date(2025, 6, 10), P30, ""D""), DATEDIF(P30, Date(2025, 6, 10), ""D"") * -1))"),61.0)</f>
        <v>61</v>
      </c>
      <c r="X30" s="5" t="b">
        <f t="shared" si="1"/>
        <v>1</v>
      </c>
      <c r="Y30" s="5" t="b">
        <f t="shared" si="2"/>
        <v>0</v>
      </c>
      <c r="Z30" s="5" t="str">
        <f>IFERROR(__xludf.DUMMYFUNCTION("If(OR(X30=true, Y30=true), if(W30&lt;-60, ""greater 60"",if(W30&lt;-30, ""31-60"", If(W30&lt;0,""0-30"", ""Not mature""))))"),"Not mature")</f>
        <v>Not mature</v>
      </c>
    </row>
    <row r="31" ht="12.75" customHeight="1" outlineLevel="3">
      <c r="A31" s="12" t="s">
        <v>89</v>
      </c>
      <c r="B31" s="13"/>
      <c r="C31" s="12"/>
      <c r="D31" s="12"/>
      <c r="E31" s="13"/>
      <c r="F31" s="12"/>
      <c r="G31" s="12"/>
      <c r="H31" s="12"/>
      <c r="I31" s="12"/>
      <c r="J31" s="12"/>
      <c r="K31" s="12"/>
      <c r="L31" s="14"/>
      <c r="M31" s="13"/>
      <c r="N31" s="14"/>
      <c r="O31" s="14"/>
      <c r="P31" s="13"/>
      <c r="Q31" s="12"/>
      <c r="R31" s="15">
        <v>5561.52</v>
      </c>
      <c r="S31" s="12" t="s">
        <v>34</v>
      </c>
      <c r="T31" s="15">
        <v>5561.52</v>
      </c>
      <c r="U31" s="12" t="s">
        <v>34</v>
      </c>
      <c r="V31" s="12"/>
      <c r="W31" s="5" t="b">
        <f>IFERROR(__xludf.DUMMYFUNCTION("If(OR(X31=true, Y31=true), If(P31&gt;Date(2025, 6, 10), Datedif(Date(2025, 6, 10), P31, ""D""), DATEDIF(P31, Date(2025, 6, 10), ""D"") * -1))"),FALSE)</f>
        <v>0</v>
      </c>
      <c r="X31" s="5" t="b">
        <f t="shared" si="1"/>
        <v>0</v>
      </c>
      <c r="Y31" s="5" t="b">
        <f t="shared" si="2"/>
        <v>0</v>
      </c>
      <c r="Z31" s="5" t="b">
        <f>IFERROR(__xludf.DUMMYFUNCTION("If(OR(X31=true, Y31=true), if(W31&lt;-60, ""greater 60"",if(W31&lt;-30, ""31-60"", If(W31&lt;0,""0-30"", ""Not mature""))))"),FALSE)</f>
        <v>0</v>
      </c>
    </row>
    <row r="32" ht="12.75" customHeight="1" outlineLevel="4">
      <c r="A32" s="5" t="s">
        <v>90</v>
      </c>
      <c r="B32" s="6">
        <v>45769.0</v>
      </c>
      <c r="C32" s="5" t="s">
        <v>29</v>
      </c>
      <c r="D32" s="5" t="s">
        <v>91</v>
      </c>
      <c r="E32" s="6">
        <v>45769.0</v>
      </c>
      <c r="G32" s="5" t="s">
        <v>31</v>
      </c>
      <c r="H32" s="5" t="s">
        <v>32</v>
      </c>
      <c r="J32" s="5" t="s">
        <v>33</v>
      </c>
      <c r="L32" s="7">
        <v>5096.4</v>
      </c>
      <c r="M32" s="6">
        <v>45769.0</v>
      </c>
      <c r="N32" s="8">
        <v>60.0</v>
      </c>
      <c r="O32" s="9">
        <v>0.0</v>
      </c>
      <c r="P32" s="6">
        <v>45829.0</v>
      </c>
      <c r="R32" s="7">
        <v>5096.4</v>
      </c>
      <c r="S32" s="5" t="s">
        <v>34</v>
      </c>
      <c r="T32" s="7">
        <v>5096.4</v>
      </c>
      <c r="U32" s="5" t="s">
        <v>34</v>
      </c>
      <c r="W32" s="5">
        <f>IFERROR(__xludf.DUMMYFUNCTION("If(OR(X32=true, Y32=true), If(P32&gt;Date(2025, 6, 10), Datedif(Date(2025, 6, 10), P32, ""D""), DATEDIF(P32, Date(2025, 6, 10), ""D"") * -1))"),11.0)</f>
        <v>11</v>
      </c>
      <c r="X32" s="5" t="b">
        <f t="shared" si="1"/>
        <v>1</v>
      </c>
      <c r="Y32" s="5" t="b">
        <f t="shared" si="2"/>
        <v>0</v>
      </c>
      <c r="Z32" s="5" t="str">
        <f>IFERROR(__xludf.DUMMYFUNCTION("If(OR(X32=true, Y32=true), if(W32&lt;-60, ""greater 60"",if(W32&lt;-30, ""31-60"", If(W32&lt;0,""0-30"", ""Not mature""))))"),"Not mature")</f>
        <v>Not mature</v>
      </c>
    </row>
    <row r="33" ht="12.75" customHeight="1" outlineLevel="4">
      <c r="A33" s="5" t="s">
        <v>92</v>
      </c>
      <c r="B33" s="6">
        <v>45789.0</v>
      </c>
      <c r="C33" s="5" t="s">
        <v>29</v>
      </c>
      <c r="D33" s="5" t="s">
        <v>93</v>
      </c>
      <c r="E33" s="6">
        <v>45789.0</v>
      </c>
      <c r="G33" s="5" t="s">
        <v>31</v>
      </c>
      <c r="H33" s="5" t="s">
        <v>49</v>
      </c>
      <c r="J33" s="5" t="s">
        <v>33</v>
      </c>
      <c r="L33" s="7">
        <v>-102.75</v>
      </c>
      <c r="M33" s="6">
        <v>45789.0</v>
      </c>
      <c r="N33" s="8">
        <v>60.0</v>
      </c>
      <c r="O33" s="9">
        <v>0.0</v>
      </c>
      <c r="P33" s="6">
        <v>45789.0</v>
      </c>
      <c r="R33" s="7">
        <v>-102.75</v>
      </c>
      <c r="S33" s="5" t="s">
        <v>34</v>
      </c>
      <c r="T33" s="7">
        <v>-102.75</v>
      </c>
      <c r="U33" s="5" t="s">
        <v>34</v>
      </c>
      <c r="W33" s="5">
        <f>IFERROR(__xludf.DUMMYFUNCTION("If(OR(X33=true, Y33=true), If(P33&gt;Date(2025, 6, 10), Datedif(Date(2025, 6, 10), P33, ""D""), DATEDIF(P33, Date(2025, 6, 10), ""D"") * -1))"),-29.0)</f>
        <v>-29</v>
      </c>
      <c r="X33" s="5" t="b">
        <f t="shared" si="1"/>
        <v>0</v>
      </c>
      <c r="Y33" s="5" t="b">
        <f t="shared" si="2"/>
        <v>1</v>
      </c>
      <c r="Z33" s="5" t="str">
        <f>IFERROR(__xludf.DUMMYFUNCTION("If(OR(X33=true, Y33=true), if(W33&lt;-60, ""greater 60"",if(W33&lt;-30, ""31-60"", If(W33&lt;0,""0-30"", ""Not mature""))))"),"0-30")</f>
        <v>0-30</v>
      </c>
    </row>
    <row r="34" ht="12.75" customHeight="1" outlineLevel="3">
      <c r="A34" s="12" t="s">
        <v>94</v>
      </c>
      <c r="B34" s="13"/>
      <c r="C34" s="12"/>
      <c r="D34" s="12"/>
      <c r="E34" s="13"/>
      <c r="F34" s="12"/>
      <c r="G34" s="12"/>
      <c r="H34" s="12"/>
      <c r="I34" s="12"/>
      <c r="J34" s="12"/>
      <c r="K34" s="12"/>
      <c r="L34" s="14"/>
      <c r="M34" s="13"/>
      <c r="N34" s="14"/>
      <c r="O34" s="14"/>
      <c r="P34" s="13"/>
      <c r="Q34" s="12"/>
      <c r="R34" s="15">
        <v>4993.65</v>
      </c>
      <c r="S34" s="12" t="s">
        <v>34</v>
      </c>
      <c r="T34" s="15">
        <v>4993.65</v>
      </c>
      <c r="U34" s="12" t="s">
        <v>34</v>
      </c>
      <c r="V34" s="12"/>
      <c r="W34" s="5" t="b">
        <f>IFERROR(__xludf.DUMMYFUNCTION("If(OR(X34=true, Y34=true), If(P34&gt;Date(2025, 6, 10), Datedif(Date(2025, 6, 10), P34, ""D""), DATEDIF(P34, Date(2025, 6, 10), ""D"") * -1))"),FALSE)</f>
        <v>0</v>
      </c>
      <c r="X34" s="5" t="b">
        <f t="shared" si="1"/>
        <v>0</v>
      </c>
      <c r="Y34" s="5" t="b">
        <f t="shared" si="2"/>
        <v>0</v>
      </c>
      <c r="Z34" s="5" t="b">
        <f>IFERROR(__xludf.DUMMYFUNCTION("If(OR(X34=true, Y34=true), if(W34&lt;-60, ""greater 60"",if(W34&lt;-30, ""31-60"", If(W34&lt;0,""0-30"", ""Not mature""))))"),FALSE)</f>
        <v>0</v>
      </c>
    </row>
    <row r="35" ht="12.75" customHeight="1" outlineLevel="4">
      <c r="A35" s="5" t="s">
        <v>95</v>
      </c>
      <c r="B35" s="6">
        <v>45791.0</v>
      </c>
      <c r="C35" s="5" t="s">
        <v>29</v>
      </c>
      <c r="D35" s="5" t="s">
        <v>96</v>
      </c>
      <c r="E35" s="6">
        <v>45791.0</v>
      </c>
      <c r="G35" s="5" t="s">
        <v>31</v>
      </c>
      <c r="H35" s="5" t="s">
        <v>32</v>
      </c>
      <c r="J35" s="5" t="s">
        <v>33</v>
      </c>
      <c r="L35" s="7">
        <v>1934.45</v>
      </c>
      <c r="M35" s="6">
        <v>45791.0</v>
      </c>
      <c r="N35" s="8">
        <v>60.0</v>
      </c>
      <c r="O35" s="9">
        <v>0.0</v>
      </c>
      <c r="P35" s="6">
        <v>45851.0</v>
      </c>
      <c r="R35" s="7">
        <v>1934.45</v>
      </c>
      <c r="S35" s="5" t="s">
        <v>34</v>
      </c>
      <c r="T35" s="7">
        <v>1934.45</v>
      </c>
      <c r="U35" s="5" t="s">
        <v>34</v>
      </c>
      <c r="W35" s="5">
        <f>IFERROR(__xludf.DUMMYFUNCTION("If(OR(X35=true, Y35=true), If(P35&gt;Date(2025, 6, 10), Datedif(Date(2025, 6, 10), P35, ""D""), DATEDIF(P35, Date(2025, 6, 10), ""D"") * -1))"),33.0)</f>
        <v>33</v>
      </c>
      <c r="X35" s="5" t="b">
        <f t="shared" si="1"/>
        <v>1</v>
      </c>
      <c r="Y35" s="5" t="b">
        <f t="shared" si="2"/>
        <v>0</v>
      </c>
      <c r="Z35" s="5" t="str">
        <f>IFERROR(__xludf.DUMMYFUNCTION("If(OR(X35=true, Y35=true), if(W35&lt;-60, ""greater 60"",if(W35&lt;-30, ""31-60"", If(W35&lt;0,""0-30"", ""Not mature""))))"),"Not mature")</f>
        <v>Not mature</v>
      </c>
    </row>
    <row r="36" ht="12.75" customHeight="1" outlineLevel="3">
      <c r="A36" s="12" t="s">
        <v>97</v>
      </c>
      <c r="B36" s="13"/>
      <c r="C36" s="12"/>
      <c r="D36" s="12"/>
      <c r="E36" s="13"/>
      <c r="F36" s="12"/>
      <c r="G36" s="12"/>
      <c r="H36" s="12"/>
      <c r="I36" s="12"/>
      <c r="J36" s="12"/>
      <c r="K36" s="12"/>
      <c r="L36" s="14"/>
      <c r="M36" s="13"/>
      <c r="N36" s="14"/>
      <c r="O36" s="14"/>
      <c r="P36" s="13"/>
      <c r="Q36" s="12"/>
      <c r="R36" s="15">
        <v>1934.45</v>
      </c>
      <c r="S36" s="12" t="s">
        <v>34</v>
      </c>
      <c r="T36" s="15">
        <v>1934.45</v>
      </c>
      <c r="U36" s="12" t="s">
        <v>34</v>
      </c>
      <c r="V36" s="12"/>
      <c r="W36" s="5" t="b">
        <f>IFERROR(__xludf.DUMMYFUNCTION("If(OR(X36=true, Y36=true), If(P36&gt;Date(2025, 6, 10), Datedif(Date(2025, 6, 10), P36, ""D""), DATEDIF(P36, Date(2025, 6, 10), ""D"") * -1))"),FALSE)</f>
        <v>0</v>
      </c>
      <c r="X36" s="5" t="b">
        <f t="shared" si="1"/>
        <v>0</v>
      </c>
      <c r="Y36" s="5" t="b">
        <f t="shared" si="2"/>
        <v>0</v>
      </c>
      <c r="Z36" s="5" t="b">
        <f>IFERROR(__xludf.DUMMYFUNCTION("If(OR(X36=true, Y36=true), if(W36&lt;-60, ""greater 60"",if(W36&lt;-30, ""31-60"", If(W36&lt;0,""0-30"", ""Not mature""))))"),FALSE)</f>
        <v>0</v>
      </c>
    </row>
    <row r="37" ht="12.75" customHeight="1" outlineLevel="4">
      <c r="A37" s="5" t="s">
        <v>98</v>
      </c>
      <c r="B37" s="6">
        <v>45776.0</v>
      </c>
      <c r="C37" s="5" t="s">
        <v>29</v>
      </c>
      <c r="D37" s="5" t="s">
        <v>99</v>
      </c>
      <c r="E37" s="6">
        <v>45776.0</v>
      </c>
      <c r="G37" s="5" t="s">
        <v>31</v>
      </c>
      <c r="H37" s="5" t="s">
        <v>32</v>
      </c>
      <c r="J37" s="5" t="s">
        <v>33</v>
      </c>
      <c r="L37" s="7">
        <v>5634.0</v>
      </c>
      <c r="M37" s="6">
        <v>45776.0</v>
      </c>
      <c r="N37" s="8">
        <v>90.0</v>
      </c>
      <c r="O37" s="9">
        <v>0.0</v>
      </c>
      <c r="P37" s="6">
        <v>45866.0</v>
      </c>
      <c r="R37" s="7">
        <v>5634.0</v>
      </c>
      <c r="S37" s="5" t="s">
        <v>34</v>
      </c>
      <c r="T37" s="7">
        <v>5634.0</v>
      </c>
      <c r="U37" s="5" t="s">
        <v>34</v>
      </c>
      <c r="W37" s="5">
        <f>IFERROR(__xludf.DUMMYFUNCTION("If(OR(X37=true, Y37=true), If(P37&gt;Date(2025, 6, 10), Datedif(Date(2025, 6, 10), P37, ""D""), DATEDIF(P37, Date(2025, 6, 10), ""D"") * -1))"),48.0)</f>
        <v>48</v>
      </c>
      <c r="X37" s="5" t="b">
        <f t="shared" si="1"/>
        <v>1</v>
      </c>
      <c r="Y37" s="5" t="b">
        <f t="shared" si="2"/>
        <v>0</v>
      </c>
      <c r="Z37" s="5" t="str">
        <f>IFERROR(__xludf.DUMMYFUNCTION("If(OR(X37=true, Y37=true), if(W37&lt;-60, ""greater 60"",if(W37&lt;-30, ""31-60"", If(W37&lt;0,""0-30"", ""Not mature""))))"),"Not mature")</f>
        <v>Not mature</v>
      </c>
    </row>
    <row r="38" ht="12.75" customHeight="1" outlineLevel="3">
      <c r="A38" s="12" t="s">
        <v>100</v>
      </c>
      <c r="B38" s="13"/>
      <c r="C38" s="12"/>
      <c r="D38" s="12"/>
      <c r="E38" s="13"/>
      <c r="F38" s="12"/>
      <c r="G38" s="12"/>
      <c r="H38" s="12"/>
      <c r="I38" s="12"/>
      <c r="J38" s="12"/>
      <c r="K38" s="12"/>
      <c r="L38" s="14"/>
      <c r="M38" s="13"/>
      <c r="N38" s="14"/>
      <c r="O38" s="14"/>
      <c r="P38" s="13"/>
      <c r="Q38" s="12"/>
      <c r="R38" s="15">
        <v>5634.0</v>
      </c>
      <c r="S38" s="12" t="s">
        <v>34</v>
      </c>
      <c r="T38" s="15">
        <v>5634.0</v>
      </c>
      <c r="U38" s="12" t="s">
        <v>34</v>
      </c>
      <c r="V38" s="12"/>
      <c r="W38" s="5" t="b">
        <f>IFERROR(__xludf.DUMMYFUNCTION("If(OR(X38=true, Y38=true), If(P38&gt;Date(2025, 6, 10), Datedif(Date(2025, 6, 10), P38, ""D""), DATEDIF(P38, Date(2025, 6, 10), ""D"") * -1))"),FALSE)</f>
        <v>0</v>
      </c>
      <c r="X38" s="5" t="b">
        <f t="shared" si="1"/>
        <v>0</v>
      </c>
      <c r="Y38" s="5" t="b">
        <f t="shared" si="2"/>
        <v>0</v>
      </c>
      <c r="Z38" s="5" t="b">
        <f>IFERROR(__xludf.DUMMYFUNCTION("If(OR(X38=true, Y38=true), if(W38&lt;-60, ""greater 60"",if(W38&lt;-30, ""31-60"", If(W38&lt;0,""0-30"", ""Not mature""))))"),FALSE)</f>
        <v>0</v>
      </c>
    </row>
    <row r="39" ht="12.75" customHeight="1" outlineLevel="4">
      <c r="A39" s="5" t="s">
        <v>101</v>
      </c>
      <c r="B39" s="6">
        <v>45636.0</v>
      </c>
      <c r="C39" s="5" t="s">
        <v>29</v>
      </c>
      <c r="D39" s="5" t="s">
        <v>102</v>
      </c>
      <c r="E39" s="6">
        <v>45636.0</v>
      </c>
      <c r="G39" s="5" t="s">
        <v>31</v>
      </c>
      <c r="H39" s="5" t="s">
        <v>49</v>
      </c>
      <c r="J39" s="5" t="s">
        <v>33</v>
      </c>
      <c r="L39" s="7">
        <v>-187.73</v>
      </c>
      <c r="M39" s="6">
        <v>45636.0</v>
      </c>
      <c r="N39" s="8">
        <v>45.0</v>
      </c>
      <c r="O39" s="9">
        <v>3.0</v>
      </c>
      <c r="P39" s="6">
        <v>45636.0</v>
      </c>
      <c r="R39" s="7">
        <v>-187.73</v>
      </c>
      <c r="S39" s="5" t="s">
        <v>34</v>
      </c>
      <c r="T39" s="7">
        <v>-187.73</v>
      </c>
      <c r="U39" s="5" t="s">
        <v>34</v>
      </c>
      <c r="W39" s="5">
        <f>IFERROR(__xludf.DUMMYFUNCTION("If(OR(X39=true, Y39=true), If(P39&gt;Date(2025, 6, 10), Datedif(Date(2025, 6, 10), P39, ""D""), DATEDIF(P39, Date(2025, 6, 10), ""D"") * -1))"),-182.0)</f>
        <v>-182</v>
      </c>
      <c r="X39" s="5" t="b">
        <f t="shared" si="1"/>
        <v>0</v>
      </c>
      <c r="Y39" s="5" t="b">
        <f t="shared" si="2"/>
        <v>1</v>
      </c>
      <c r="Z39" s="5" t="str">
        <f>IFERROR(__xludf.DUMMYFUNCTION("If(OR(X39=true, Y39=true), if(W39&lt;-60, ""greater 60"",if(W39&lt;-30, ""31-60"", If(W39&lt;0,""0-30"", ""Not mature""))))"),"greater 60")</f>
        <v>greater 60</v>
      </c>
    </row>
    <row r="40" ht="12.75" customHeight="1" outlineLevel="4">
      <c r="A40" s="5" t="s">
        <v>57</v>
      </c>
      <c r="B40" s="6">
        <v>45702.0</v>
      </c>
      <c r="C40" s="5" t="s">
        <v>58</v>
      </c>
      <c r="D40" s="5" t="s">
        <v>103</v>
      </c>
      <c r="E40" s="6">
        <v>45684.0</v>
      </c>
      <c r="G40" s="5" t="s">
        <v>31</v>
      </c>
      <c r="H40" s="5" t="s">
        <v>49</v>
      </c>
      <c r="J40" s="5" t="s">
        <v>33</v>
      </c>
      <c r="L40" s="7">
        <v>-8096.46</v>
      </c>
      <c r="M40" s="6">
        <v>45684.0</v>
      </c>
      <c r="N40" s="8">
        <v>0.0</v>
      </c>
      <c r="O40" s="9">
        <v>0.0</v>
      </c>
      <c r="P40" s="6">
        <v>45684.0</v>
      </c>
      <c r="R40" s="7">
        <v>-8096.46</v>
      </c>
      <c r="S40" s="5" t="s">
        <v>34</v>
      </c>
      <c r="T40" s="7">
        <v>-8096.46</v>
      </c>
      <c r="U40" s="5" t="s">
        <v>34</v>
      </c>
      <c r="W40" s="5">
        <f>IFERROR(__xludf.DUMMYFUNCTION("If(OR(X40=true, Y40=true), If(P40&gt;Date(2025, 6, 10), Datedif(Date(2025, 6, 10), P40, ""D""), DATEDIF(P40, Date(2025, 6, 10), ""D"") * -1))"),-134.0)</f>
        <v>-134</v>
      </c>
      <c r="X40" s="5" t="b">
        <f t="shared" si="1"/>
        <v>0</v>
      </c>
      <c r="Y40" s="5" t="b">
        <f t="shared" si="2"/>
        <v>1</v>
      </c>
      <c r="Z40" s="5" t="str">
        <f>IFERROR(__xludf.DUMMYFUNCTION("If(OR(X40=true, Y40=true), if(W40&lt;-60, ""greater 60"",if(W40&lt;-30, ""31-60"", If(W40&lt;0,""0-30"", ""Not mature""))))"),"greater 60")</f>
        <v>greater 60</v>
      </c>
    </row>
    <row r="41" ht="12.75" customHeight="1" outlineLevel="3">
      <c r="A41" s="12" t="s">
        <v>104</v>
      </c>
      <c r="B41" s="13"/>
      <c r="C41" s="12"/>
      <c r="D41" s="12"/>
      <c r="E41" s="13"/>
      <c r="F41" s="12"/>
      <c r="G41" s="12"/>
      <c r="H41" s="12"/>
      <c r="I41" s="12"/>
      <c r="J41" s="12"/>
      <c r="K41" s="12"/>
      <c r="L41" s="14"/>
      <c r="M41" s="13"/>
      <c r="N41" s="14"/>
      <c r="O41" s="14"/>
      <c r="P41" s="13"/>
      <c r="Q41" s="12"/>
      <c r="R41" s="15">
        <v>-8284.19</v>
      </c>
      <c r="S41" s="12" t="s">
        <v>34</v>
      </c>
      <c r="T41" s="15">
        <v>-8284.19</v>
      </c>
      <c r="U41" s="12" t="s">
        <v>34</v>
      </c>
      <c r="V41" s="12"/>
      <c r="W41" s="5" t="b">
        <f>IFERROR(__xludf.DUMMYFUNCTION("If(OR(X41=true, Y41=true), If(P41&gt;Date(2025, 6, 10), Datedif(Date(2025, 6, 10), P41, ""D""), DATEDIF(P41, Date(2025, 6, 10), ""D"") * -1))"),FALSE)</f>
        <v>0</v>
      </c>
      <c r="X41" s="5" t="b">
        <f t="shared" si="1"/>
        <v>0</v>
      </c>
      <c r="Y41" s="5" t="b">
        <f t="shared" si="2"/>
        <v>0</v>
      </c>
      <c r="Z41" s="5" t="b">
        <f>IFERROR(__xludf.DUMMYFUNCTION("If(OR(X41=true, Y41=true), if(W41&lt;-60, ""greater 60"",if(W41&lt;-30, ""31-60"", If(W41&lt;0,""0-30"", ""Not mature""))))"),FALSE)</f>
        <v>0</v>
      </c>
    </row>
    <row r="42" ht="12.75" customHeight="1" outlineLevel="4">
      <c r="A42" s="5" t="s">
        <v>105</v>
      </c>
      <c r="B42" s="6">
        <v>45636.0</v>
      </c>
      <c r="C42" s="5" t="s">
        <v>29</v>
      </c>
      <c r="D42" s="5" t="s">
        <v>106</v>
      </c>
      <c r="E42" s="6">
        <v>45636.0</v>
      </c>
      <c r="G42" s="5" t="s">
        <v>31</v>
      </c>
      <c r="H42" s="5" t="s">
        <v>49</v>
      </c>
      <c r="J42" s="5" t="s">
        <v>33</v>
      </c>
      <c r="L42" s="7">
        <v>-635.29</v>
      </c>
      <c r="M42" s="6">
        <v>45636.0</v>
      </c>
      <c r="N42" s="8">
        <v>14.0</v>
      </c>
      <c r="O42" s="9">
        <v>3.0</v>
      </c>
      <c r="P42" s="6">
        <v>45636.0</v>
      </c>
      <c r="R42" s="7">
        <v>-635.29</v>
      </c>
      <c r="S42" s="5" t="s">
        <v>34</v>
      </c>
      <c r="T42" s="7">
        <v>-635.29</v>
      </c>
      <c r="U42" s="5" t="s">
        <v>34</v>
      </c>
      <c r="W42" s="5">
        <f>IFERROR(__xludf.DUMMYFUNCTION("If(OR(X42=true, Y42=true), If(P42&gt;Date(2025, 6, 10), Datedif(Date(2025, 6, 10), P42, ""D""), DATEDIF(P42, Date(2025, 6, 10), ""D"") * -1))"),-182.0)</f>
        <v>-182</v>
      </c>
      <c r="X42" s="5" t="b">
        <f t="shared" si="1"/>
        <v>0</v>
      </c>
      <c r="Y42" s="5" t="b">
        <f t="shared" si="2"/>
        <v>1</v>
      </c>
      <c r="Z42" s="5" t="str">
        <f>IFERROR(__xludf.DUMMYFUNCTION("If(OR(X42=true, Y42=true), if(W42&lt;-60, ""greater 60"",if(W42&lt;-30, ""31-60"", If(W42&lt;0,""0-30"", ""Not mature""))))"),"greater 60")</f>
        <v>greater 60</v>
      </c>
    </row>
    <row r="43" ht="12.75" customHeight="1" outlineLevel="4">
      <c r="A43" s="5" t="s">
        <v>107</v>
      </c>
      <c r="B43" s="6">
        <v>45749.0</v>
      </c>
      <c r="C43" s="5" t="s">
        <v>29</v>
      </c>
      <c r="D43" s="5" t="s">
        <v>108</v>
      </c>
      <c r="E43" s="6">
        <v>45749.0</v>
      </c>
      <c r="G43" s="5" t="s">
        <v>31</v>
      </c>
      <c r="H43" s="5" t="s">
        <v>49</v>
      </c>
      <c r="J43" s="5" t="s">
        <v>33</v>
      </c>
      <c r="L43" s="7">
        <v>-649.87</v>
      </c>
      <c r="M43" s="6">
        <v>45749.0</v>
      </c>
      <c r="N43" s="8">
        <v>1.0</v>
      </c>
      <c r="O43" s="9">
        <v>0.0</v>
      </c>
      <c r="P43" s="6">
        <v>45749.0</v>
      </c>
      <c r="R43" s="7">
        <v>-649.87</v>
      </c>
      <c r="S43" s="5" t="s">
        <v>34</v>
      </c>
      <c r="T43" s="7">
        <v>-649.87</v>
      </c>
      <c r="U43" s="5" t="s">
        <v>34</v>
      </c>
      <c r="W43" s="5">
        <f>IFERROR(__xludf.DUMMYFUNCTION("If(OR(X43=true, Y43=true), If(P43&gt;Date(2025, 6, 10), Datedif(Date(2025, 6, 10), P43, ""D""), DATEDIF(P43, Date(2025, 6, 10), ""D"") * -1))"),-69.0)</f>
        <v>-69</v>
      </c>
      <c r="X43" s="5" t="b">
        <f t="shared" si="1"/>
        <v>0</v>
      </c>
      <c r="Y43" s="5" t="b">
        <f t="shared" si="2"/>
        <v>1</v>
      </c>
      <c r="Z43" s="5" t="str">
        <f>IFERROR(__xludf.DUMMYFUNCTION("If(OR(X43=true, Y43=true), if(W43&lt;-60, ""greater 60"",if(W43&lt;-30, ""31-60"", If(W43&lt;0,""0-30"", ""Not mature""))))"),"greater 60")</f>
        <v>greater 60</v>
      </c>
    </row>
    <row r="44" ht="12.75" customHeight="1" outlineLevel="4">
      <c r="A44" s="5" t="s">
        <v>109</v>
      </c>
      <c r="B44" s="6">
        <v>45749.0</v>
      </c>
      <c r="C44" s="5" t="s">
        <v>29</v>
      </c>
      <c r="D44" s="5" t="s">
        <v>110</v>
      </c>
      <c r="E44" s="6">
        <v>45749.0</v>
      </c>
      <c r="G44" s="5" t="s">
        <v>31</v>
      </c>
      <c r="H44" s="5" t="s">
        <v>49</v>
      </c>
      <c r="J44" s="5" t="s">
        <v>33</v>
      </c>
      <c r="L44" s="7">
        <v>-138.37</v>
      </c>
      <c r="M44" s="6">
        <v>45749.0</v>
      </c>
      <c r="N44" s="8">
        <v>1.0</v>
      </c>
      <c r="O44" s="9">
        <v>0.0</v>
      </c>
      <c r="P44" s="6">
        <v>45749.0</v>
      </c>
      <c r="R44" s="7">
        <v>-138.37</v>
      </c>
      <c r="S44" s="5" t="s">
        <v>34</v>
      </c>
      <c r="T44" s="7">
        <v>-138.37</v>
      </c>
      <c r="U44" s="5" t="s">
        <v>34</v>
      </c>
      <c r="W44" s="5">
        <f>IFERROR(__xludf.DUMMYFUNCTION("If(OR(X44=true, Y44=true), If(P44&gt;Date(2025, 6, 10), Datedif(Date(2025, 6, 10), P44, ""D""), DATEDIF(P44, Date(2025, 6, 10), ""D"") * -1))"),-69.0)</f>
        <v>-69</v>
      </c>
      <c r="X44" s="5" t="b">
        <f t="shared" si="1"/>
        <v>0</v>
      </c>
      <c r="Y44" s="5" t="b">
        <f t="shared" si="2"/>
        <v>1</v>
      </c>
      <c r="Z44" s="5" t="str">
        <f>IFERROR(__xludf.DUMMYFUNCTION("If(OR(X44=true, Y44=true), if(W44&lt;-60, ""greater 60"",if(W44&lt;-30, ""31-60"", If(W44&lt;0,""0-30"", ""Not mature""))))"),"greater 60")</f>
        <v>greater 60</v>
      </c>
    </row>
    <row r="45" ht="12.75" customHeight="1" outlineLevel="4">
      <c r="A45" s="5" t="s">
        <v>111</v>
      </c>
      <c r="B45" s="6">
        <v>45672.0</v>
      </c>
      <c r="C45" s="5" t="s">
        <v>112</v>
      </c>
      <c r="D45" s="5" t="s">
        <v>113</v>
      </c>
      <c r="E45" s="6">
        <v>45672.0</v>
      </c>
      <c r="G45" s="5" t="s">
        <v>114</v>
      </c>
      <c r="H45" s="5" t="s">
        <v>115</v>
      </c>
      <c r="J45" s="5" t="s">
        <v>33</v>
      </c>
      <c r="L45" s="7">
        <v>0.0</v>
      </c>
      <c r="M45" s="6">
        <v>45672.0</v>
      </c>
      <c r="N45" s="8">
        <v>0.0</v>
      </c>
      <c r="O45" s="9">
        <v>0.0</v>
      </c>
      <c r="P45" s="6">
        <v>45672.0</v>
      </c>
      <c r="R45" s="7">
        <v>-26372.3</v>
      </c>
      <c r="S45" s="5" t="s">
        <v>34</v>
      </c>
      <c r="T45" s="7">
        <v>-26372.3</v>
      </c>
      <c r="U45" s="5" t="s">
        <v>34</v>
      </c>
      <c r="W45" s="5">
        <f>IFERROR(__xludf.DUMMYFUNCTION("If(OR(X45=true, Y45=true), If(P45&gt;Date(2025, 6, 10), Datedif(Date(2025, 6, 10), P45, ""D""), DATEDIF(P45, Date(2025, 6, 10), ""D"") * -1))"),-146.0)</f>
        <v>-146</v>
      </c>
      <c r="X45" s="5" t="b">
        <f t="shared" si="1"/>
        <v>0</v>
      </c>
      <c r="Y45" s="5" t="b">
        <f t="shared" si="2"/>
        <v>1</v>
      </c>
      <c r="Z45" s="5" t="str">
        <f>IFERROR(__xludf.DUMMYFUNCTION("If(OR(X45=true, Y45=true), if(W45&lt;-60, ""greater 60"",if(W45&lt;-30, ""31-60"", If(W45&lt;0,""0-30"", ""Not mature""))))"),"greater 60")</f>
        <v>greater 60</v>
      </c>
    </row>
    <row r="46" ht="12.75" customHeight="1" outlineLevel="4">
      <c r="A46" s="5" t="s">
        <v>116</v>
      </c>
      <c r="B46" s="6">
        <v>45693.0</v>
      </c>
      <c r="C46" s="5" t="s">
        <v>29</v>
      </c>
      <c r="D46" s="5" t="s">
        <v>117</v>
      </c>
      <c r="E46" s="6">
        <v>45693.0</v>
      </c>
      <c r="G46" s="5" t="s">
        <v>31</v>
      </c>
      <c r="H46" s="5" t="s">
        <v>32</v>
      </c>
      <c r="J46" s="5" t="s">
        <v>33</v>
      </c>
      <c r="L46" s="7">
        <v>11004.73</v>
      </c>
      <c r="M46" s="6">
        <v>45693.0</v>
      </c>
      <c r="N46" s="8">
        <v>1.0</v>
      </c>
      <c r="O46" s="9">
        <v>0.0</v>
      </c>
      <c r="P46" s="6">
        <v>45694.0</v>
      </c>
      <c r="R46" s="7">
        <v>11004.73</v>
      </c>
      <c r="S46" s="5" t="s">
        <v>34</v>
      </c>
      <c r="T46" s="7">
        <v>11004.73</v>
      </c>
      <c r="U46" s="5" t="s">
        <v>34</v>
      </c>
      <c r="W46" s="5">
        <f>IFERROR(__xludf.DUMMYFUNCTION("If(OR(X46=true, Y46=true), If(P46&gt;Date(2025, 6, 10), Datedif(Date(2025, 6, 10), P46, ""D""), DATEDIF(P46, Date(2025, 6, 10), ""D"") * -1))"),-124.0)</f>
        <v>-124</v>
      </c>
      <c r="X46" s="5" t="b">
        <f t="shared" si="1"/>
        <v>1</v>
      </c>
      <c r="Y46" s="5" t="b">
        <f t="shared" si="2"/>
        <v>0</v>
      </c>
      <c r="Z46" s="5" t="str">
        <f>IFERROR(__xludf.DUMMYFUNCTION("If(OR(X46=true, Y46=true), if(W46&lt;-60, ""greater 60"",if(W46&lt;-30, ""31-60"", If(W46&lt;0,""0-30"", ""Not mature""))))"),"greater 60")</f>
        <v>greater 60</v>
      </c>
    </row>
    <row r="47" ht="12.75" customHeight="1" outlineLevel="4">
      <c r="A47" s="5" t="s">
        <v>118</v>
      </c>
      <c r="B47" s="6">
        <v>45693.0</v>
      </c>
      <c r="C47" s="5" t="s">
        <v>29</v>
      </c>
      <c r="D47" s="5" t="s">
        <v>119</v>
      </c>
      <c r="E47" s="6">
        <v>45693.0</v>
      </c>
      <c r="G47" s="5" t="s">
        <v>31</v>
      </c>
      <c r="H47" s="5" t="s">
        <v>32</v>
      </c>
      <c r="J47" s="5" t="s">
        <v>33</v>
      </c>
      <c r="L47" s="7">
        <v>6942.77</v>
      </c>
      <c r="M47" s="6">
        <v>45693.0</v>
      </c>
      <c r="N47" s="8">
        <v>1.0</v>
      </c>
      <c r="O47" s="9">
        <v>0.0</v>
      </c>
      <c r="P47" s="6">
        <v>45694.0</v>
      </c>
      <c r="R47" s="7">
        <v>6942.77</v>
      </c>
      <c r="S47" s="5" t="s">
        <v>34</v>
      </c>
      <c r="T47" s="7">
        <v>6942.77</v>
      </c>
      <c r="U47" s="5" t="s">
        <v>34</v>
      </c>
      <c r="W47" s="5">
        <f>IFERROR(__xludf.DUMMYFUNCTION("If(OR(X47=true, Y47=true), If(P47&gt;Date(2025, 6, 10), Datedif(Date(2025, 6, 10), P47, ""D""), DATEDIF(P47, Date(2025, 6, 10), ""D"") * -1))"),-124.0)</f>
        <v>-124</v>
      </c>
      <c r="X47" s="5" t="b">
        <f t="shared" si="1"/>
        <v>1</v>
      </c>
      <c r="Y47" s="5" t="b">
        <f t="shared" si="2"/>
        <v>0</v>
      </c>
      <c r="Z47" s="5" t="str">
        <f>IFERROR(__xludf.DUMMYFUNCTION("If(OR(X47=true, Y47=true), if(W47&lt;-60, ""greater 60"",if(W47&lt;-30, ""31-60"", If(W47&lt;0,""0-30"", ""Not mature""))))"),"greater 60")</f>
        <v>greater 60</v>
      </c>
    </row>
    <row r="48" ht="12.75" customHeight="1" outlineLevel="4">
      <c r="A48" s="5" t="s">
        <v>120</v>
      </c>
      <c r="B48" s="6">
        <v>45719.0</v>
      </c>
      <c r="C48" s="5" t="s">
        <v>29</v>
      </c>
      <c r="D48" s="5" t="s">
        <v>121</v>
      </c>
      <c r="E48" s="6">
        <v>45719.0</v>
      </c>
      <c r="G48" s="5" t="s">
        <v>31</v>
      </c>
      <c r="H48" s="5" t="s">
        <v>32</v>
      </c>
      <c r="J48" s="5" t="s">
        <v>33</v>
      </c>
      <c r="L48" s="7">
        <v>10547.28</v>
      </c>
      <c r="M48" s="6">
        <v>45719.0</v>
      </c>
      <c r="N48" s="8">
        <v>1.0</v>
      </c>
      <c r="O48" s="9">
        <v>0.0</v>
      </c>
      <c r="P48" s="6">
        <v>45720.0</v>
      </c>
      <c r="R48" s="7">
        <v>10547.28</v>
      </c>
      <c r="S48" s="5" t="s">
        <v>34</v>
      </c>
      <c r="T48" s="7">
        <v>10547.28</v>
      </c>
      <c r="U48" s="5" t="s">
        <v>34</v>
      </c>
      <c r="W48" s="5">
        <f>IFERROR(__xludf.DUMMYFUNCTION("If(OR(X48=true, Y48=true), If(P48&gt;Date(2025, 6, 10), Datedif(Date(2025, 6, 10), P48, ""D""), DATEDIF(P48, Date(2025, 6, 10), ""D"") * -1))"),-98.0)</f>
        <v>-98</v>
      </c>
      <c r="X48" s="5" t="b">
        <f t="shared" si="1"/>
        <v>1</v>
      </c>
      <c r="Y48" s="5" t="b">
        <f t="shared" si="2"/>
        <v>0</v>
      </c>
      <c r="Z48" s="5" t="str">
        <f>IFERROR(__xludf.DUMMYFUNCTION("If(OR(X48=true, Y48=true), if(W48&lt;-60, ""greater 60"",if(W48&lt;-30, ""31-60"", If(W48&lt;0,""0-30"", ""Not mature""))))"),"greater 60")</f>
        <v>greater 60</v>
      </c>
    </row>
    <row r="49" ht="12.75" customHeight="1" outlineLevel="4">
      <c r="A49" s="5" t="s">
        <v>122</v>
      </c>
      <c r="B49" s="6">
        <v>45771.0</v>
      </c>
      <c r="C49" s="5" t="s">
        <v>29</v>
      </c>
      <c r="D49" s="5" t="s">
        <v>123</v>
      </c>
      <c r="E49" s="6">
        <v>45771.0</v>
      </c>
      <c r="G49" s="5" t="s">
        <v>31</v>
      </c>
      <c r="H49" s="5" t="s">
        <v>32</v>
      </c>
      <c r="J49" s="5" t="s">
        <v>33</v>
      </c>
      <c r="L49" s="7">
        <v>6298.11</v>
      </c>
      <c r="M49" s="6">
        <v>45771.0</v>
      </c>
      <c r="N49" s="8">
        <v>14.0</v>
      </c>
      <c r="O49" s="9">
        <v>3.0</v>
      </c>
      <c r="P49" s="6">
        <v>45801.0</v>
      </c>
      <c r="R49" s="7">
        <v>6298.11</v>
      </c>
      <c r="S49" s="5" t="s">
        <v>34</v>
      </c>
      <c r="T49" s="7">
        <v>6298.11</v>
      </c>
      <c r="U49" s="5" t="s">
        <v>34</v>
      </c>
      <c r="W49" s="5">
        <f>IFERROR(__xludf.DUMMYFUNCTION("If(OR(X49=true, Y49=true), If(P49&gt;Date(2025, 6, 10), Datedif(Date(2025, 6, 10), P49, ""D""), DATEDIF(P49, Date(2025, 6, 10), ""D"") * -1))"),-17.0)</f>
        <v>-17</v>
      </c>
      <c r="X49" s="5" t="b">
        <f t="shared" si="1"/>
        <v>1</v>
      </c>
      <c r="Y49" s="5" t="b">
        <f t="shared" si="2"/>
        <v>0</v>
      </c>
      <c r="Z49" s="5" t="str">
        <f>IFERROR(__xludf.DUMMYFUNCTION("If(OR(X49=true, Y49=true), if(W49&lt;-60, ""greater 60"",if(W49&lt;-30, ""31-60"", If(W49&lt;0,""0-30"", ""Not mature""))))"),"0-30")</f>
        <v>0-30</v>
      </c>
    </row>
    <row r="50" ht="12.75" customHeight="1" outlineLevel="4">
      <c r="A50" s="5" t="s">
        <v>124</v>
      </c>
      <c r="B50" s="6">
        <v>45771.0</v>
      </c>
      <c r="C50" s="5" t="s">
        <v>29</v>
      </c>
      <c r="D50" s="5" t="s">
        <v>125</v>
      </c>
      <c r="E50" s="6">
        <v>45771.0</v>
      </c>
      <c r="G50" s="5" t="s">
        <v>31</v>
      </c>
      <c r="H50" s="5" t="s">
        <v>32</v>
      </c>
      <c r="J50" s="5" t="s">
        <v>33</v>
      </c>
      <c r="L50" s="7">
        <v>6456.88</v>
      </c>
      <c r="M50" s="6">
        <v>45771.0</v>
      </c>
      <c r="N50" s="8">
        <v>14.0</v>
      </c>
      <c r="O50" s="9">
        <v>3.0</v>
      </c>
      <c r="P50" s="6">
        <v>45801.0</v>
      </c>
      <c r="R50" s="7">
        <v>6456.88</v>
      </c>
      <c r="S50" s="5" t="s">
        <v>34</v>
      </c>
      <c r="T50" s="7">
        <v>6456.88</v>
      </c>
      <c r="U50" s="5" t="s">
        <v>34</v>
      </c>
      <c r="W50" s="5">
        <f>IFERROR(__xludf.DUMMYFUNCTION("If(OR(X50=true, Y50=true), If(P50&gt;Date(2025, 6, 10), Datedif(Date(2025, 6, 10), P50, ""D""), DATEDIF(P50, Date(2025, 6, 10), ""D"") * -1))"),-17.0)</f>
        <v>-17</v>
      </c>
      <c r="X50" s="5" t="b">
        <f t="shared" si="1"/>
        <v>1</v>
      </c>
      <c r="Y50" s="5" t="b">
        <f t="shared" si="2"/>
        <v>0</v>
      </c>
      <c r="Z50" s="5" t="str">
        <f>IFERROR(__xludf.DUMMYFUNCTION("If(OR(X50=true, Y50=true), if(W50&lt;-60, ""greater 60"",if(W50&lt;-30, ""31-60"", If(W50&lt;0,""0-30"", ""Not mature""))))"),"0-30")</f>
        <v>0-30</v>
      </c>
    </row>
    <row r="51" ht="12.75" customHeight="1" outlineLevel="4">
      <c r="A51" s="5" t="s">
        <v>126</v>
      </c>
      <c r="B51" s="6">
        <v>45785.0</v>
      </c>
      <c r="C51" s="5" t="s">
        <v>29</v>
      </c>
      <c r="D51" s="5" t="s">
        <v>127</v>
      </c>
      <c r="E51" s="6">
        <v>45785.0</v>
      </c>
      <c r="G51" s="5" t="s">
        <v>31</v>
      </c>
      <c r="H51" s="5" t="s">
        <v>32</v>
      </c>
      <c r="J51" s="5" t="s">
        <v>33</v>
      </c>
      <c r="L51" s="7">
        <v>21794.89</v>
      </c>
      <c r="M51" s="6">
        <v>45785.0</v>
      </c>
      <c r="N51" s="8">
        <v>1.0</v>
      </c>
      <c r="O51" s="9">
        <v>0.0</v>
      </c>
      <c r="P51" s="6">
        <v>45786.0</v>
      </c>
      <c r="R51" s="7">
        <v>21794.89</v>
      </c>
      <c r="S51" s="5" t="s">
        <v>34</v>
      </c>
      <c r="T51" s="7">
        <v>21794.89</v>
      </c>
      <c r="U51" s="5" t="s">
        <v>34</v>
      </c>
      <c r="W51" s="5">
        <f>IFERROR(__xludf.DUMMYFUNCTION("If(OR(X51=true, Y51=true), If(P51&gt;Date(2025, 6, 10), Datedif(Date(2025, 6, 10), P51, ""D""), DATEDIF(P51, Date(2025, 6, 10), ""D"") * -1))"),-32.0)</f>
        <v>-32</v>
      </c>
      <c r="X51" s="5" t="b">
        <f t="shared" si="1"/>
        <v>1</v>
      </c>
      <c r="Y51" s="5" t="b">
        <f t="shared" si="2"/>
        <v>0</v>
      </c>
      <c r="Z51" s="5" t="str">
        <f>IFERROR(__xludf.DUMMYFUNCTION("If(OR(X51=true, Y51=true), if(W51&lt;-60, ""greater 60"",if(W51&lt;-30, ""31-60"", If(W51&lt;0,""0-30"", ""Not mature""))))"),"31-60")</f>
        <v>31-60</v>
      </c>
    </row>
    <row r="52" ht="12.75" customHeight="1" outlineLevel="4">
      <c r="A52" s="5" t="s">
        <v>128</v>
      </c>
      <c r="B52" s="6">
        <v>45785.0</v>
      </c>
      <c r="C52" s="5" t="s">
        <v>29</v>
      </c>
      <c r="D52" s="5" t="s">
        <v>129</v>
      </c>
      <c r="E52" s="6">
        <v>45785.0</v>
      </c>
      <c r="G52" s="5" t="s">
        <v>31</v>
      </c>
      <c r="H52" s="5" t="s">
        <v>32</v>
      </c>
      <c r="J52" s="5" t="s">
        <v>33</v>
      </c>
      <c r="L52" s="7">
        <v>6669.41</v>
      </c>
      <c r="M52" s="6">
        <v>45785.0</v>
      </c>
      <c r="N52" s="8">
        <v>1.0</v>
      </c>
      <c r="O52" s="9">
        <v>0.0</v>
      </c>
      <c r="P52" s="6">
        <v>45786.0</v>
      </c>
      <c r="R52" s="7">
        <v>6669.41</v>
      </c>
      <c r="S52" s="5" t="s">
        <v>34</v>
      </c>
      <c r="T52" s="7">
        <v>6669.41</v>
      </c>
      <c r="U52" s="5" t="s">
        <v>34</v>
      </c>
      <c r="W52" s="5">
        <f>IFERROR(__xludf.DUMMYFUNCTION("If(OR(X52=true, Y52=true), If(P52&gt;Date(2025, 6, 10), Datedif(Date(2025, 6, 10), P52, ""D""), DATEDIF(P52, Date(2025, 6, 10), ""D"") * -1))"),-32.0)</f>
        <v>-32</v>
      </c>
      <c r="X52" s="5" t="b">
        <f t="shared" si="1"/>
        <v>1</v>
      </c>
      <c r="Y52" s="5" t="b">
        <f t="shared" si="2"/>
        <v>0</v>
      </c>
      <c r="Z52" s="5" t="str">
        <f>IFERROR(__xludf.DUMMYFUNCTION("If(OR(X52=true, Y52=true), if(W52&lt;-60, ""greater 60"",if(W52&lt;-30, ""31-60"", If(W52&lt;0,""0-30"", ""Not mature""))))"),"31-60")</f>
        <v>31-60</v>
      </c>
    </row>
    <row r="53" ht="12.75" customHeight="1" outlineLevel="4">
      <c r="A53" s="5" t="s">
        <v>130</v>
      </c>
      <c r="B53" s="6">
        <v>45700.0</v>
      </c>
      <c r="C53" s="5" t="s">
        <v>112</v>
      </c>
      <c r="D53" s="5" t="s">
        <v>131</v>
      </c>
      <c r="E53" s="6">
        <v>45700.0</v>
      </c>
      <c r="G53" s="5" t="s">
        <v>114</v>
      </c>
      <c r="H53" s="5" t="s">
        <v>115</v>
      </c>
      <c r="J53" s="5" t="s">
        <v>33</v>
      </c>
      <c r="L53" s="7">
        <v>0.0</v>
      </c>
      <c r="M53" s="6">
        <v>45700.0</v>
      </c>
      <c r="N53" s="8">
        <v>0.0</v>
      </c>
      <c r="O53" s="9">
        <v>0.0</v>
      </c>
      <c r="P53" s="6">
        <v>45700.0</v>
      </c>
      <c r="R53" s="7">
        <v>-6940.08</v>
      </c>
      <c r="S53" s="5" t="s">
        <v>34</v>
      </c>
      <c r="T53" s="7">
        <v>-6940.08</v>
      </c>
      <c r="U53" s="5" t="s">
        <v>34</v>
      </c>
      <c r="W53" s="5">
        <f>IFERROR(__xludf.DUMMYFUNCTION("If(OR(X53=true, Y53=true), If(P53&gt;Date(2025, 6, 10), Datedif(Date(2025, 6, 10), P53, ""D""), DATEDIF(P53, Date(2025, 6, 10), ""D"") * -1))"),-118.0)</f>
        <v>-118</v>
      </c>
      <c r="X53" s="5" t="b">
        <f t="shared" si="1"/>
        <v>0</v>
      </c>
      <c r="Y53" s="5" t="b">
        <f t="shared" si="2"/>
        <v>1</v>
      </c>
      <c r="Z53" s="5" t="str">
        <f>IFERROR(__xludf.DUMMYFUNCTION("If(OR(X53=true, Y53=true), if(W53&lt;-60, ""greater 60"",if(W53&lt;-30, ""31-60"", If(W53&lt;0,""0-30"", ""Not mature""))))"),"greater 60")</f>
        <v>greater 60</v>
      </c>
    </row>
    <row r="54" ht="12.75" customHeight="1" outlineLevel="4">
      <c r="A54" s="5" t="s">
        <v>132</v>
      </c>
      <c r="B54" s="6">
        <v>45708.0</v>
      </c>
      <c r="C54" s="5" t="s">
        <v>112</v>
      </c>
      <c r="D54" s="5" t="s">
        <v>133</v>
      </c>
      <c r="E54" s="6">
        <v>45708.0</v>
      </c>
      <c r="G54" s="5" t="s">
        <v>114</v>
      </c>
      <c r="H54" s="5" t="s">
        <v>115</v>
      </c>
      <c r="J54" s="5" t="s">
        <v>33</v>
      </c>
      <c r="L54" s="7">
        <v>0.0</v>
      </c>
      <c r="M54" s="6">
        <v>45708.0</v>
      </c>
      <c r="N54" s="8">
        <v>0.0</v>
      </c>
      <c r="O54" s="9">
        <v>0.0</v>
      </c>
      <c r="P54" s="6">
        <v>45708.0</v>
      </c>
      <c r="R54" s="7">
        <v>-2059.01</v>
      </c>
      <c r="S54" s="5" t="s">
        <v>34</v>
      </c>
      <c r="T54" s="7">
        <v>-2059.01</v>
      </c>
      <c r="U54" s="5" t="s">
        <v>34</v>
      </c>
      <c r="W54" s="5">
        <f>IFERROR(__xludf.DUMMYFUNCTION("If(OR(X54=true, Y54=true), If(P54&gt;Date(2025, 6, 10), Datedif(Date(2025, 6, 10), P54, ""D""), DATEDIF(P54, Date(2025, 6, 10), ""D"") * -1))"),-110.0)</f>
        <v>-110</v>
      </c>
      <c r="X54" s="5" t="b">
        <f t="shared" si="1"/>
        <v>0</v>
      </c>
      <c r="Y54" s="5" t="b">
        <f t="shared" si="2"/>
        <v>1</v>
      </c>
      <c r="Z54" s="5" t="str">
        <f>IFERROR(__xludf.DUMMYFUNCTION("If(OR(X54=true, Y54=true), if(W54&lt;-60, ""greater 60"",if(W54&lt;-30, ""31-60"", If(W54&lt;0,""0-30"", ""Not mature""))))"),"greater 60")</f>
        <v>greater 60</v>
      </c>
    </row>
    <row r="55" ht="12.75" customHeight="1" outlineLevel="4">
      <c r="A55" s="5" t="s">
        <v>134</v>
      </c>
      <c r="B55" s="6">
        <v>45749.0</v>
      </c>
      <c r="C55" s="5" t="s">
        <v>29</v>
      </c>
      <c r="D55" s="5" t="s">
        <v>135</v>
      </c>
      <c r="E55" s="6">
        <v>45749.0</v>
      </c>
      <c r="G55" s="5" t="s">
        <v>31</v>
      </c>
      <c r="H55" s="5" t="s">
        <v>49</v>
      </c>
      <c r="J55" s="5" t="s">
        <v>33</v>
      </c>
      <c r="L55" s="7">
        <v>-4029.1</v>
      </c>
      <c r="M55" s="6">
        <v>45749.0</v>
      </c>
      <c r="N55" s="8">
        <v>1.0</v>
      </c>
      <c r="O55" s="9">
        <v>0.0</v>
      </c>
      <c r="P55" s="6">
        <v>45749.0</v>
      </c>
      <c r="R55" s="7">
        <v>-4029.1</v>
      </c>
      <c r="S55" s="5" t="s">
        <v>34</v>
      </c>
      <c r="T55" s="7">
        <v>-4029.1</v>
      </c>
      <c r="U55" s="5" t="s">
        <v>34</v>
      </c>
      <c r="W55" s="5">
        <f>IFERROR(__xludf.DUMMYFUNCTION("If(OR(X55=true, Y55=true), If(P55&gt;Date(2025, 6, 10), Datedif(Date(2025, 6, 10), P55, ""D""), DATEDIF(P55, Date(2025, 6, 10), ""D"") * -1))"),-69.0)</f>
        <v>-69</v>
      </c>
      <c r="X55" s="5" t="b">
        <f t="shared" si="1"/>
        <v>0</v>
      </c>
      <c r="Y55" s="5" t="b">
        <f t="shared" si="2"/>
        <v>1</v>
      </c>
      <c r="Z55" s="5" t="str">
        <f>IFERROR(__xludf.DUMMYFUNCTION("If(OR(X55=true, Y55=true), if(W55&lt;-60, ""greater 60"",if(W55&lt;-30, ""31-60"", If(W55&lt;0,""0-30"", ""Not mature""))))"),"greater 60")</f>
        <v>greater 60</v>
      </c>
    </row>
    <row r="56" ht="12.75" customHeight="1" outlineLevel="4">
      <c r="A56" s="5" t="s">
        <v>136</v>
      </c>
      <c r="B56" s="6">
        <v>45756.0</v>
      </c>
      <c r="C56" s="5" t="s">
        <v>112</v>
      </c>
      <c r="D56" s="5" t="s">
        <v>137</v>
      </c>
      <c r="E56" s="6">
        <v>45756.0</v>
      </c>
      <c r="G56" s="5" t="s">
        <v>114</v>
      </c>
      <c r="H56" s="5" t="s">
        <v>115</v>
      </c>
      <c r="J56" s="5" t="s">
        <v>33</v>
      </c>
      <c r="L56" s="7">
        <v>0.0</v>
      </c>
      <c r="M56" s="6">
        <v>45756.0</v>
      </c>
      <c r="N56" s="8">
        <v>0.0</v>
      </c>
      <c r="O56" s="9">
        <v>0.0</v>
      </c>
      <c r="P56" s="6">
        <v>45756.0</v>
      </c>
      <c r="R56" s="7">
        <v>-12702.06</v>
      </c>
      <c r="S56" s="5" t="s">
        <v>34</v>
      </c>
      <c r="T56" s="7">
        <v>-12702.06</v>
      </c>
      <c r="U56" s="5" t="s">
        <v>34</v>
      </c>
      <c r="W56" s="5">
        <f>IFERROR(__xludf.DUMMYFUNCTION("If(OR(X56=true, Y56=true), If(P56&gt;Date(2025, 6, 10), Datedif(Date(2025, 6, 10), P56, ""D""), DATEDIF(P56, Date(2025, 6, 10), ""D"") * -1))"),-62.0)</f>
        <v>-62</v>
      </c>
      <c r="X56" s="5" t="b">
        <f t="shared" si="1"/>
        <v>0</v>
      </c>
      <c r="Y56" s="5" t="b">
        <f t="shared" si="2"/>
        <v>1</v>
      </c>
      <c r="Z56" s="5" t="str">
        <f>IFERROR(__xludf.DUMMYFUNCTION("If(OR(X56=true, Y56=true), if(W56&lt;-60, ""greater 60"",if(W56&lt;-30, ""31-60"", If(W56&lt;0,""0-30"", ""Not mature""))))"),"greater 60")</f>
        <v>greater 60</v>
      </c>
    </row>
    <row r="57" ht="12.75" customHeight="1" outlineLevel="4">
      <c r="A57" s="5" t="s">
        <v>138</v>
      </c>
      <c r="B57" s="6">
        <v>45763.0</v>
      </c>
      <c r="C57" s="5" t="s">
        <v>58</v>
      </c>
      <c r="D57" s="5" t="s">
        <v>139</v>
      </c>
      <c r="E57" s="6">
        <v>45749.0</v>
      </c>
      <c r="G57" s="5" t="s">
        <v>31</v>
      </c>
      <c r="H57" s="5" t="s">
        <v>49</v>
      </c>
      <c r="J57" s="5" t="s">
        <v>33</v>
      </c>
      <c r="L57" s="7">
        <v>-493.14</v>
      </c>
      <c r="M57" s="6">
        <v>45749.0</v>
      </c>
      <c r="N57" s="8">
        <v>0.0</v>
      </c>
      <c r="O57" s="9">
        <v>0.0</v>
      </c>
      <c r="P57" s="6">
        <v>45749.0</v>
      </c>
      <c r="R57" s="7">
        <v>-493.14</v>
      </c>
      <c r="S57" s="5" t="s">
        <v>34</v>
      </c>
      <c r="T57" s="7">
        <v>-493.14</v>
      </c>
      <c r="U57" s="5" t="s">
        <v>34</v>
      </c>
      <c r="W57" s="5">
        <f>IFERROR(__xludf.DUMMYFUNCTION("If(OR(X57=true, Y57=true), If(P57&gt;Date(2025, 6, 10), Datedif(Date(2025, 6, 10), P57, ""D""), DATEDIF(P57, Date(2025, 6, 10), ""D"") * -1))"),-69.0)</f>
        <v>-69</v>
      </c>
      <c r="X57" s="5" t="b">
        <f t="shared" si="1"/>
        <v>0</v>
      </c>
      <c r="Y57" s="5" t="b">
        <f t="shared" si="2"/>
        <v>1</v>
      </c>
      <c r="Z57" s="5" t="str">
        <f>IFERROR(__xludf.DUMMYFUNCTION("If(OR(X57=true, Y57=true), if(W57&lt;-60, ""greater 60"",if(W57&lt;-30, ""31-60"", If(W57&lt;0,""0-30"", ""Not mature""))))"),"greater 60")</f>
        <v>greater 60</v>
      </c>
    </row>
    <row r="58" ht="12.75" customHeight="1" outlineLevel="4">
      <c r="A58" s="5" t="s">
        <v>138</v>
      </c>
      <c r="B58" s="6">
        <v>45763.0</v>
      </c>
      <c r="C58" s="5" t="s">
        <v>58</v>
      </c>
      <c r="D58" s="5" t="s">
        <v>140</v>
      </c>
      <c r="E58" s="6">
        <v>45749.0</v>
      </c>
      <c r="G58" s="5" t="s">
        <v>31</v>
      </c>
      <c r="H58" s="5" t="s">
        <v>49</v>
      </c>
      <c r="J58" s="5" t="s">
        <v>33</v>
      </c>
      <c r="L58" s="7">
        <v>-1675.85</v>
      </c>
      <c r="M58" s="6">
        <v>45749.0</v>
      </c>
      <c r="N58" s="8">
        <v>0.0</v>
      </c>
      <c r="O58" s="9">
        <v>0.0</v>
      </c>
      <c r="P58" s="6">
        <v>45749.0</v>
      </c>
      <c r="R58" s="7">
        <v>-1675.85</v>
      </c>
      <c r="S58" s="5" t="s">
        <v>34</v>
      </c>
      <c r="T58" s="7">
        <v>-1675.85</v>
      </c>
      <c r="U58" s="5" t="s">
        <v>34</v>
      </c>
      <c r="W58" s="5">
        <f>IFERROR(__xludf.DUMMYFUNCTION("If(OR(X58=true, Y58=true), If(P58&gt;Date(2025, 6, 10), Datedif(Date(2025, 6, 10), P58, ""D""), DATEDIF(P58, Date(2025, 6, 10), ""D"") * -1))"),-69.0)</f>
        <v>-69</v>
      </c>
      <c r="X58" s="5" t="b">
        <f t="shared" si="1"/>
        <v>0</v>
      </c>
      <c r="Y58" s="5" t="b">
        <f t="shared" si="2"/>
        <v>1</v>
      </c>
      <c r="Z58" s="5" t="str">
        <f>IFERROR(__xludf.DUMMYFUNCTION("If(OR(X58=true, Y58=true), if(W58&lt;-60, ""greater 60"",if(W58&lt;-30, ""31-60"", If(W58&lt;0,""0-30"", ""Not mature""))))"),"greater 60")</f>
        <v>greater 60</v>
      </c>
    </row>
    <row r="59" ht="12.75" customHeight="1" outlineLevel="4">
      <c r="A59" s="5" t="s">
        <v>138</v>
      </c>
      <c r="B59" s="6">
        <v>45763.0</v>
      </c>
      <c r="C59" s="5" t="s">
        <v>58</v>
      </c>
      <c r="D59" s="5" t="s">
        <v>141</v>
      </c>
      <c r="E59" s="6">
        <v>45749.0</v>
      </c>
      <c r="G59" s="5" t="s">
        <v>31</v>
      </c>
      <c r="H59" s="5" t="s">
        <v>49</v>
      </c>
      <c r="J59" s="5" t="s">
        <v>33</v>
      </c>
      <c r="L59" s="7">
        <v>-8506.21</v>
      </c>
      <c r="M59" s="6">
        <v>45749.0</v>
      </c>
      <c r="N59" s="8">
        <v>0.0</v>
      </c>
      <c r="O59" s="9">
        <v>0.0</v>
      </c>
      <c r="P59" s="6">
        <v>45749.0</v>
      </c>
      <c r="R59" s="7">
        <v>-8506.21</v>
      </c>
      <c r="S59" s="5" t="s">
        <v>34</v>
      </c>
      <c r="T59" s="7">
        <v>-8506.21</v>
      </c>
      <c r="U59" s="5" t="s">
        <v>34</v>
      </c>
      <c r="W59" s="5">
        <f>IFERROR(__xludf.DUMMYFUNCTION("If(OR(X59=true, Y59=true), If(P59&gt;Date(2025, 6, 10), Datedif(Date(2025, 6, 10), P59, ""D""), DATEDIF(P59, Date(2025, 6, 10), ""D"") * -1))"),-69.0)</f>
        <v>-69</v>
      </c>
      <c r="X59" s="5" t="b">
        <f t="shared" si="1"/>
        <v>0</v>
      </c>
      <c r="Y59" s="5" t="b">
        <f t="shared" si="2"/>
        <v>1</v>
      </c>
      <c r="Z59" s="5" t="str">
        <f>IFERROR(__xludf.DUMMYFUNCTION("If(OR(X59=true, Y59=true), if(W59&lt;-60, ""greater 60"",if(W59&lt;-30, ""31-60"", If(W59&lt;0,""0-30"", ""Not mature""))))"),"greater 60")</f>
        <v>greater 60</v>
      </c>
    </row>
    <row r="60" ht="12.75" customHeight="1" outlineLevel="4">
      <c r="A60" s="5" t="s">
        <v>142</v>
      </c>
      <c r="B60" s="6">
        <v>45786.0</v>
      </c>
      <c r="C60" s="5" t="s">
        <v>112</v>
      </c>
      <c r="D60" s="5" t="s">
        <v>143</v>
      </c>
      <c r="E60" s="6">
        <v>45786.0</v>
      </c>
      <c r="G60" s="5" t="s">
        <v>114</v>
      </c>
      <c r="H60" s="5" t="s">
        <v>115</v>
      </c>
      <c r="J60" s="5" t="s">
        <v>33</v>
      </c>
      <c r="L60" s="7">
        <v>0.0</v>
      </c>
      <c r="M60" s="6">
        <v>45786.0</v>
      </c>
      <c r="N60" s="8">
        <v>0.0</v>
      </c>
      <c r="O60" s="9">
        <v>0.0</v>
      </c>
      <c r="P60" s="6">
        <v>45786.0</v>
      </c>
      <c r="R60" s="7">
        <v>-21912.66</v>
      </c>
      <c r="S60" s="5" t="s">
        <v>34</v>
      </c>
      <c r="T60" s="7">
        <v>-21912.66</v>
      </c>
      <c r="U60" s="5" t="s">
        <v>34</v>
      </c>
      <c r="W60" s="5">
        <f>IFERROR(__xludf.DUMMYFUNCTION("If(OR(X60=true, Y60=true), If(P60&gt;Date(2025, 6, 10), Datedif(Date(2025, 6, 10), P60, ""D""), DATEDIF(P60, Date(2025, 6, 10), ""D"") * -1))"),-32.0)</f>
        <v>-32</v>
      </c>
      <c r="X60" s="5" t="b">
        <f t="shared" si="1"/>
        <v>0</v>
      </c>
      <c r="Y60" s="5" t="b">
        <f t="shared" si="2"/>
        <v>1</v>
      </c>
      <c r="Z60" s="5" t="str">
        <f>IFERROR(__xludf.DUMMYFUNCTION("If(OR(X60=true, Y60=true), if(W60&lt;-60, ""greater 60"",if(W60&lt;-30, ""31-60"", If(W60&lt;0,""0-30"", ""Not mature""))))"),"31-60")</f>
        <v>31-60</v>
      </c>
    </row>
    <row r="61" ht="12.75" customHeight="1" outlineLevel="4">
      <c r="A61" s="5" t="s">
        <v>144</v>
      </c>
      <c r="B61" s="6">
        <v>45638.0</v>
      </c>
      <c r="C61" s="5" t="s">
        <v>58</v>
      </c>
      <c r="D61" s="5" t="s">
        <v>145</v>
      </c>
      <c r="E61" s="6">
        <v>45637.0</v>
      </c>
      <c r="G61" s="5" t="s">
        <v>31</v>
      </c>
      <c r="H61" s="5" t="s">
        <v>49</v>
      </c>
      <c r="J61" s="5" t="s">
        <v>33</v>
      </c>
      <c r="L61" s="7">
        <v>-2300.28</v>
      </c>
      <c r="M61" s="6">
        <v>45637.0</v>
      </c>
      <c r="N61" s="8">
        <v>0.0</v>
      </c>
      <c r="O61" s="9">
        <v>0.0</v>
      </c>
      <c r="P61" s="6">
        <v>45637.0</v>
      </c>
      <c r="R61" s="7">
        <v>-2300.28</v>
      </c>
      <c r="S61" s="5" t="s">
        <v>34</v>
      </c>
      <c r="T61" s="7">
        <v>-2300.28</v>
      </c>
      <c r="U61" s="5" t="s">
        <v>34</v>
      </c>
      <c r="W61" s="5">
        <f>IFERROR(__xludf.DUMMYFUNCTION("If(OR(X61=true, Y61=true), If(P61&gt;Date(2025, 6, 10), Datedif(Date(2025, 6, 10), P61, ""D""), DATEDIF(P61, Date(2025, 6, 10), ""D"") * -1))"),-181.0)</f>
        <v>-181</v>
      </c>
      <c r="X61" s="5" t="b">
        <f t="shared" si="1"/>
        <v>0</v>
      </c>
      <c r="Y61" s="5" t="b">
        <f t="shared" si="2"/>
        <v>1</v>
      </c>
      <c r="Z61" s="5" t="str">
        <f>IFERROR(__xludf.DUMMYFUNCTION("If(OR(X61=true, Y61=true), if(W61&lt;-60, ""greater 60"",if(W61&lt;-30, ""31-60"", If(W61&lt;0,""0-30"", ""Not mature""))))"),"greater 60")</f>
        <v>greater 60</v>
      </c>
    </row>
    <row r="62" ht="12.75" customHeight="1" outlineLevel="4">
      <c r="A62" s="5" t="s">
        <v>146</v>
      </c>
      <c r="B62" s="6">
        <v>45692.0</v>
      </c>
      <c r="C62" s="5" t="s">
        <v>147</v>
      </c>
      <c r="D62" s="5" t="s">
        <v>148</v>
      </c>
      <c r="E62" s="6">
        <v>45692.0</v>
      </c>
      <c r="G62" s="5" t="s">
        <v>31</v>
      </c>
      <c r="H62" s="5" t="s">
        <v>149</v>
      </c>
      <c r="J62" s="5" t="s">
        <v>33</v>
      </c>
      <c r="L62" s="7">
        <v>0.0</v>
      </c>
      <c r="M62" s="6">
        <v>45692.0</v>
      </c>
      <c r="N62" s="8">
        <v>0.0</v>
      </c>
      <c r="O62" s="9">
        <v>0.0</v>
      </c>
      <c r="P62" s="6">
        <v>45692.0</v>
      </c>
      <c r="R62" s="7">
        <v>-73.26</v>
      </c>
      <c r="S62" s="5" t="s">
        <v>34</v>
      </c>
      <c r="T62" s="7">
        <v>-73.26</v>
      </c>
      <c r="U62" s="5" t="s">
        <v>34</v>
      </c>
      <c r="W62" s="5">
        <f>IFERROR(__xludf.DUMMYFUNCTION("If(OR(X62=true, Y62=true), If(P62&gt;Date(2025, 6, 10), Datedif(Date(2025, 6, 10), P62, ""D""), DATEDIF(P62, Date(2025, 6, 10), ""D"") * -1))"),-126.0)</f>
        <v>-126</v>
      </c>
      <c r="X62" s="5" t="b">
        <f t="shared" si="1"/>
        <v>0</v>
      </c>
      <c r="Y62" s="5" t="b">
        <f t="shared" si="2"/>
        <v>1</v>
      </c>
      <c r="Z62" s="5" t="str">
        <f>IFERROR(__xludf.DUMMYFUNCTION("If(OR(X62=true, Y62=true), if(W62&lt;-60, ""greater 60"",if(W62&lt;-30, ""31-60"", If(W62&lt;0,""0-30"", ""Not mature""))))"),"greater 60")</f>
        <v>greater 60</v>
      </c>
    </row>
    <row r="63" ht="12.75" customHeight="1" outlineLevel="3">
      <c r="A63" s="12" t="s">
        <v>150</v>
      </c>
      <c r="B63" s="13"/>
      <c r="C63" s="12"/>
      <c r="D63" s="12"/>
      <c r="E63" s="13"/>
      <c r="F63" s="12"/>
      <c r="G63" s="12"/>
      <c r="H63" s="12"/>
      <c r="I63" s="12"/>
      <c r="J63" s="12"/>
      <c r="K63" s="12"/>
      <c r="L63" s="14"/>
      <c r="M63" s="13"/>
      <c r="N63" s="14"/>
      <c r="O63" s="14"/>
      <c r="P63" s="13"/>
      <c r="Q63" s="12"/>
      <c r="R63" s="15">
        <v>-18773.41</v>
      </c>
      <c r="S63" s="12" t="s">
        <v>34</v>
      </c>
      <c r="T63" s="15">
        <v>-18773.41</v>
      </c>
      <c r="U63" s="12" t="s">
        <v>34</v>
      </c>
      <c r="V63" s="12"/>
      <c r="W63" s="5" t="b">
        <f>IFERROR(__xludf.DUMMYFUNCTION("If(OR(X63=true, Y63=true), If(P63&gt;Date(2025, 6, 10), Datedif(Date(2025, 6, 10), P63, ""D""), DATEDIF(P63, Date(2025, 6, 10), ""D"") * -1))"),FALSE)</f>
        <v>0</v>
      </c>
      <c r="X63" s="5" t="b">
        <f t="shared" si="1"/>
        <v>0</v>
      </c>
      <c r="Y63" s="5" t="b">
        <f t="shared" si="2"/>
        <v>0</v>
      </c>
      <c r="Z63" s="5" t="b">
        <f>IFERROR(__xludf.DUMMYFUNCTION("If(OR(X63=true, Y63=true), if(W63&lt;-60, ""greater 60"",if(W63&lt;-30, ""31-60"", If(W63&lt;0,""0-30"", ""Not mature""))))"),FALSE)</f>
        <v>0</v>
      </c>
    </row>
    <row r="64" ht="12.75" customHeight="1" outlineLevel="4">
      <c r="A64" s="5" t="s">
        <v>151</v>
      </c>
      <c r="B64" s="6">
        <v>45796.0</v>
      </c>
      <c r="C64" s="5" t="s">
        <v>29</v>
      </c>
      <c r="D64" s="5" t="s">
        <v>152</v>
      </c>
      <c r="E64" s="6">
        <v>45796.0</v>
      </c>
      <c r="G64" s="5" t="s">
        <v>31</v>
      </c>
      <c r="H64" s="5" t="s">
        <v>32</v>
      </c>
      <c r="J64" s="5" t="s">
        <v>33</v>
      </c>
      <c r="L64" s="7">
        <v>5282.05</v>
      </c>
      <c r="M64" s="6">
        <v>45796.0</v>
      </c>
      <c r="N64" s="8">
        <v>14.0</v>
      </c>
      <c r="O64" s="9">
        <v>3.0</v>
      </c>
      <c r="P64" s="6">
        <v>45856.0</v>
      </c>
      <c r="R64" s="7">
        <v>5282.05</v>
      </c>
      <c r="S64" s="5" t="s">
        <v>34</v>
      </c>
      <c r="T64" s="7">
        <v>5282.05</v>
      </c>
      <c r="U64" s="5" t="s">
        <v>34</v>
      </c>
      <c r="W64" s="5">
        <f>IFERROR(__xludf.DUMMYFUNCTION("If(OR(X64=true, Y64=true), If(P64&gt;Date(2025, 6, 10), Datedif(Date(2025, 6, 10), P64, ""D""), DATEDIF(P64, Date(2025, 6, 10), ""D"") * -1))"),38.0)</f>
        <v>38</v>
      </c>
      <c r="X64" s="5" t="b">
        <f t="shared" si="1"/>
        <v>1</v>
      </c>
      <c r="Y64" s="5" t="b">
        <f t="shared" si="2"/>
        <v>0</v>
      </c>
      <c r="Z64" s="5" t="str">
        <f>IFERROR(__xludf.DUMMYFUNCTION("If(OR(X64=true, Y64=true), if(W64&lt;-60, ""greater 60"",if(W64&lt;-30, ""31-60"", If(W64&lt;0,""0-30"", ""Not mature""))))"),"Not mature")</f>
        <v>Not mature</v>
      </c>
    </row>
    <row r="65" ht="12.75" customHeight="1" outlineLevel="3">
      <c r="A65" s="12" t="s">
        <v>153</v>
      </c>
      <c r="B65" s="13"/>
      <c r="C65" s="12"/>
      <c r="D65" s="12"/>
      <c r="E65" s="13"/>
      <c r="F65" s="12"/>
      <c r="G65" s="12"/>
      <c r="H65" s="12"/>
      <c r="I65" s="12"/>
      <c r="J65" s="12"/>
      <c r="K65" s="12"/>
      <c r="L65" s="14"/>
      <c r="M65" s="13"/>
      <c r="N65" s="14"/>
      <c r="O65" s="14"/>
      <c r="P65" s="13"/>
      <c r="Q65" s="12"/>
      <c r="R65" s="15">
        <v>5282.05</v>
      </c>
      <c r="S65" s="12" t="s">
        <v>34</v>
      </c>
      <c r="T65" s="15">
        <v>5282.05</v>
      </c>
      <c r="U65" s="12" t="s">
        <v>34</v>
      </c>
      <c r="V65" s="12"/>
      <c r="W65" s="5" t="b">
        <f>IFERROR(__xludf.DUMMYFUNCTION("If(OR(X65=true, Y65=true), If(P65&gt;Date(2025, 6, 10), Datedif(Date(2025, 6, 10), P65, ""D""), DATEDIF(P65, Date(2025, 6, 10), ""D"") * -1))"),FALSE)</f>
        <v>0</v>
      </c>
      <c r="X65" s="5" t="b">
        <f t="shared" si="1"/>
        <v>0</v>
      </c>
      <c r="Y65" s="5" t="b">
        <f t="shared" si="2"/>
        <v>0</v>
      </c>
      <c r="Z65" s="5" t="b">
        <f>IFERROR(__xludf.DUMMYFUNCTION("If(OR(X65=true, Y65=true), if(W65&lt;-60, ""greater 60"",if(W65&lt;-30, ""31-60"", If(W65&lt;0,""0-30"", ""Not mature""))))"),FALSE)</f>
        <v>0</v>
      </c>
    </row>
    <row r="66" ht="12.75" customHeight="1" outlineLevel="4">
      <c r="A66" s="5" t="s">
        <v>154</v>
      </c>
      <c r="B66" s="6">
        <v>45707.0</v>
      </c>
      <c r="C66" s="5" t="s">
        <v>29</v>
      </c>
      <c r="D66" s="5" t="s">
        <v>155</v>
      </c>
      <c r="E66" s="6">
        <v>45707.0</v>
      </c>
      <c r="G66" s="5" t="s">
        <v>31</v>
      </c>
      <c r="H66" s="5" t="s">
        <v>49</v>
      </c>
      <c r="J66" s="5" t="s">
        <v>31</v>
      </c>
      <c r="L66" s="7">
        <v>-546.92</v>
      </c>
      <c r="M66" s="6">
        <v>45707.0</v>
      </c>
      <c r="N66" s="8">
        <v>14.0</v>
      </c>
      <c r="O66" s="9">
        <v>3.0</v>
      </c>
      <c r="P66" s="6">
        <v>45707.0</v>
      </c>
      <c r="R66" s="7">
        <v>-546.92</v>
      </c>
      <c r="S66" s="5" t="s">
        <v>34</v>
      </c>
      <c r="T66" s="7">
        <v>-546.92</v>
      </c>
      <c r="U66" s="5" t="s">
        <v>34</v>
      </c>
      <c r="W66" s="5">
        <f>IFERROR(__xludf.DUMMYFUNCTION("If(OR(X66=true, Y66=true), If(P66&gt;Date(2025, 6, 10), Datedif(Date(2025, 6, 10), P66, ""D""), DATEDIF(P66, Date(2025, 6, 10), ""D"") * -1))"),-111.0)</f>
        <v>-111</v>
      </c>
      <c r="X66" s="5" t="b">
        <f t="shared" si="1"/>
        <v>0</v>
      </c>
      <c r="Y66" s="5" t="b">
        <f t="shared" si="2"/>
        <v>1</v>
      </c>
      <c r="Z66" s="5" t="str">
        <f>IFERROR(__xludf.DUMMYFUNCTION("If(OR(X66=true, Y66=true), if(W66&lt;-60, ""greater 60"",if(W66&lt;-30, ""31-60"", If(W66&lt;0,""0-30"", ""Not mature""))))"),"greater 60")</f>
        <v>greater 60</v>
      </c>
    </row>
    <row r="67" ht="12.75" customHeight="1" outlineLevel="3">
      <c r="A67" s="12" t="s">
        <v>156</v>
      </c>
      <c r="B67" s="13"/>
      <c r="C67" s="12"/>
      <c r="D67" s="12"/>
      <c r="E67" s="13"/>
      <c r="F67" s="12"/>
      <c r="G67" s="12"/>
      <c r="H67" s="12"/>
      <c r="I67" s="12"/>
      <c r="J67" s="12"/>
      <c r="K67" s="12"/>
      <c r="L67" s="14"/>
      <c r="M67" s="13"/>
      <c r="N67" s="14"/>
      <c r="O67" s="14"/>
      <c r="P67" s="13"/>
      <c r="Q67" s="12"/>
      <c r="R67" s="15">
        <v>-546.92</v>
      </c>
      <c r="S67" s="12" t="s">
        <v>34</v>
      </c>
      <c r="T67" s="15">
        <v>-546.92</v>
      </c>
      <c r="U67" s="12" t="s">
        <v>34</v>
      </c>
      <c r="V67" s="12"/>
      <c r="W67" s="5" t="b">
        <f>IFERROR(__xludf.DUMMYFUNCTION("If(OR(X67=true, Y67=true), If(P67&gt;Date(2025, 6, 10), Datedif(Date(2025, 6, 10), P67, ""D""), DATEDIF(P67, Date(2025, 6, 10), ""D"") * -1))"),FALSE)</f>
        <v>0</v>
      </c>
      <c r="X67" s="5" t="b">
        <f t="shared" si="1"/>
        <v>0</v>
      </c>
      <c r="Y67" s="5" t="b">
        <f t="shared" si="2"/>
        <v>0</v>
      </c>
      <c r="Z67" s="5" t="b">
        <f>IFERROR(__xludf.DUMMYFUNCTION("If(OR(X67=true, Y67=true), if(W67&lt;-60, ""greater 60"",if(W67&lt;-30, ""31-60"", If(W67&lt;0,""0-30"", ""Not mature""))))"),FALSE)</f>
        <v>0</v>
      </c>
    </row>
    <row r="68" ht="12.75" customHeight="1" outlineLevel="4">
      <c r="A68" s="5" t="s">
        <v>157</v>
      </c>
      <c r="B68" s="6">
        <v>45706.0</v>
      </c>
      <c r="C68" s="5" t="s">
        <v>29</v>
      </c>
      <c r="D68" s="5" t="s">
        <v>158</v>
      </c>
      <c r="E68" s="6">
        <v>45706.0</v>
      </c>
      <c r="G68" s="5" t="s">
        <v>31</v>
      </c>
      <c r="H68" s="5" t="s">
        <v>32</v>
      </c>
      <c r="J68" s="5" t="s">
        <v>33</v>
      </c>
      <c r="L68" s="7">
        <v>173.28</v>
      </c>
      <c r="M68" s="6">
        <v>45716.0</v>
      </c>
      <c r="N68" s="8">
        <v>61.0</v>
      </c>
      <c r="O68" s="9">
        <v>0.0</v>
      </c>
      <c r="P68" s="6">
        <v>45777.0</v>
      </c>
      <c r="R68" s="7">
        <v>173.28</v>
      </c>
      <c r="S68" s="5" t="s">
        <v>34</v>
      </c>
      <c r="T68" s="7">
        <v>173.28</v>
      </c>
      <c r="U68" s="5" t="s">
        <v>34</v>
      </c>
      <c r="W68" s="5">
        <f>IFERROR(__xludf.DUMMYFUNCTION("If(OR(X68=true, Y68=true), If(P68&gt;Date(2025, 6, 10), Datedif(Date(2025, 6, 10), P68, ""D""), DATEDIF(P68, Date(2025, 6, 10), ""D"") * -1))"),-41.0)</f>
        <v>-41</v>
      </c>
      <c r="X68" s="5" t="b">
        <f t="shared" si="1"/>
        <v>1</v>
      </c>
      <c r="Y68" s="5" t="b">
        <f t="shared" si="2"/>
        <v>0</v>
      </c>
      <c r="Z68" s="5" t="str">
        <f>IFERROR(__xludf.DUMMYFUNCTION("If(OR(X68=true, Y68=true), if(W68&lt;-60, ""greater 60"",if(W68&lt;-30, ""31-60"", If(W68&lt;0,""0-30"", ""Not mature""))))"),"31-60")</f>
        <v>31-60</v>
      </c>
    </row>
    <row r="69" ht="12.75" customHeight="1" outlineLevel="4">
      <c r="A69" s="5" t="s">
        <v>159</v>
      </c>
      <c r="B69" s="6">
        <v>45712.0</v>
      </c>
      <c r="C69" s="5" t="s">
        <v>29</v>
      </c>
      <c r="D69" s="5" t="s">
        <v>160</v>
      </c>
      <c r="E69" s="6">
        <v>45712.0</v>
      </c>
      <c r="G69" s="5" t="s">
        <v>31</v>
      </c>
      <c r="H69" s="5" t="s">
        <v>32</v>
      </c>
      <c r="J69" s="5" t="s">
        <v>33</v>
      </c>
      <c r="L69" s="7">
        <v>894.0</v>
      </c>
      <c r="M69" s="6">
        <v>45716.0</v>
      </c>
      <c r="N69" s="8">
        <v>61.0</v>
      </c>
      <c r="O69" s="9">
        <v>0.0</v>
      </c>
      <c r="P69" s="6">
        <v>45777.0</v>
      </c>
      <c r="R69" s="7">
        <v>894.0</v>
      </c>
      <c r="S69" s="5" t="s">
        <v>34</v>
      </c>
      <c r="T69" s="7">
        <v>894.0</v>
      </c>
      <c r="U69" s="5" t="s">
        <v>34</v>
      </c>
      <c r="W69" s="5">
        <f>IFERROR(__xludf.DUMMYFUNCTION("If(OR(X69=true, Y69=true), If(P69&gt;Date(2025, 6, 10), Datedif(Date(2025, 6, 10), P69, ""D""), DATEDIF(P69, Date(2025, 6, 10), ""D"") * -1))"),-41.0)</f>
        <v>-41</v>
      </c>
      <c r="X69" s="5" t="b">
        <f t="shared" si="1"/>
        <v>1</v>
      </c>
      <c r="Y69" s="5" t="b">
        <f t="shared" si="2"/>
        <v>0</v>
      </c>
      <c r="Z69" s="5" t="str">
        <f>IFERROR(__xludf.DUMMYFUNCTION("If(OR(X69=true, Y69=true), if(W69&lt;-60, ""greater 60"",if(W69&lt;-30, ""31-60"", If(W69&lt;0,""0-30"", ""Not mature""))))"),"31-60")</f>
        <v>31-60</v>
      </c>
    </row>
    <row r="70" ht="12.75" customHeight="1" outlineLevel="4">
      <c r="A70" s="5" t="s">
        <v>161</v>
      </c>
      <c r="B70" s="6">
        <v>45719.0</v>
      </c>
      <c r="C70" s="5" t="s">
        <v>29</v>
      </c>
      <c r="D70" s="5" t="s">
        <v>162</v>
      </c>
      <c r="E70" s="6">
        <v>45719.0</v>
      </c>
      <c r="G70" s="5" t="s">
        <v>31</v>
      </c>
      <c r="H70" s="5" t="s">
        <v>32</v>
      </c>
      <c r="J70" s="5" t="s">
        <v>33</v>
      </c>
      <c r="L70" s="7">
        <v>4843.44</v>
      </c>
      <c r="M70" s="6">
        <v>45747.0</v>
      </c>
      <c r="N70" s="8">
        <v>61.0</v>
      </c>
      <c r="O70" s="9">
        <v>0.0</v>
      </c>
      <c r="P70" s="6">
        <v>45808.0</v>
      </c>
      <c r="R70" s="7">
        <v>4843.44</v>
      </c>
      <c r="S70" s="5" t="s">
        <v>34</v>
      </c>
      <c r="T70" s="7">
        <v>4843.44</v>
      </c>
      <c r="U70" s="5" t="s">
        <v>34</v>
      </c>
      <c r="W70" s="5">
        <f>IFERROR(__xludf.DUMMYFUNCTION("If(OR(X70=true, Y70=true), If(P70&gt;Date(2025, 6, 10), Datedif(Date(2025, 6, 10), P70, ""D""), DATEDIF(P70, Date(2025, 6, 10), ""D"") * -1))"),-10.0)</f>
        <v>-10</v>
      </c>
      <c r="X70" s="5" t="b">
        <f t="shared" si="1"/>
        <v>1</v>
      </c>
      <c r="Y70" s="5" t="b">
        <f t="shared" si="2"/>
        <v>0</v>
      </c>
      <c r="Z70" s="5" t="str">
        <f>IFERROR(__xludf.DUMMYFUNCTION("If(OR(X70=true, Y70=true), if(W70&lt;-60, ""greater 60"",if(W70&lt;-30, ""31-60"", If(W70&lt;0,""0-30"", ""Not mature""))))"),"0-30")</f>
        <v>0-30</v>
      </c>
    </row>
    <row r="71" ht="12.75" customHeight="1" outlineLevel="4">
      <c r="A71" s="5" t="s">
        <v>163</v>
      </c>
      <c r="B71" s="6">
        <v>45720.0</v>
      </c>
      <c r="C71" s="5" t="s">
        <v>29</v>
      </c>
      <c r="D71" s="5" t="s">
        <v>164</v>
      </c>
      <c r="E71" s="6">
        <v>45720.0</v>
      </c>
      <c r="G71" s="5" t="s">
        <v>31</v>
      </c>
      <c r="H71" s="5" t="s">
        <v>32</v>
      </c>
      <c r="J71" s="5" t="s">
        <v>33</v>
      </c>
      <c r="L71" s="7">
        <v>1219.68</v>
      </c>
      <c r="M71" s="6">
        <v>45747.0</v>
      </c>
      <c r="N71" s="8">
        <v>61.0</v>
      </c>
      <c r="O71" s="9">
        <v>0.0</v>
      </c>
      <c r="P71" s="6">
        <v>45808.0</v>
      </c>
      <c r="R71" s="7">
        <v>1219.68</v>
      </c>
      <c r="S71" s="5" t="s">
        <v>34</v>
      </c>
      <c r="T71" s="7">
        <v>1219.68</v>
      </c>
      <c r="U71" s="5" t="s">
        <v>34</v>
      </c>
      <c r="W71" s="5">
        <f>IFERROR(__xludf.DUMMYFUNCTION("If(OR(X71=true, Y71=true), If(P71&gt;Date(2025, 6, 10), Datedif(Date(2025, 6, 10), P71, ""D""), DATEDIF(P71, Date(2025, 6, 10), ""D"") * -1))"),-10.0)</f>
        <v>-10</v>
      </c>
      <c r="X71" s="5" t="b">
        <f t="shared" si="1"/>
        <v>1</v>
      </c>
      <c r="Y71" s="5" t="b">
        <f t="shared" si="2"/>
        <v>0</v>
      </c>
      <c r="Z71" s="5" t="str">
        <f>IFERROR(__xludf.DUMMYFUNCTION("If(OR(X71=true, Y71=true), if(W71&lt;-60, ""greater 60"",if(W71&lt;-30, ""31-60"", If(W71&lt;0,""0-30"", ""Not mature""))))"),"0-30")</f>
        <v>0-30</v>
      </c>
    </row>
    <row r="72" ht="12.75" customHeight="1" outlineLevel="4">
      <c r="A72" s="5" t="s">
        <v>165</v>
      </c>
      <c r="B72" s="6">
        <v>45726.0</v>
      </c>
      <c r="C72" s="5" t="s">
        <v>29</v>
      </c>
      <c r="D72" s="5" t="s">
        <v>166</v>
      </c>
      <c r="E72" s="6">
        <v>45726.0</v>
      </c>
      <c r="G72" s="5" t="s">
        <v>31</v>
      </c>
      <c r="H72" s="5" t="s">
        <v>32</v>
      </c>
      <c r="J72" s="5" t="s">
        <v>33</v>
      </c>
      <c r="L72" s="7">
        <v>8599.92</v>
      </c>
      <c r="M72" s="6">
        <v>45747.0</v>
      </c>
      <c r="N72" s="8">
        <v>61.0</v>
      </c>
      <c r="O72" s="9">
        <v>0.0</v>
      </c>
      <c r="P72" s="6">
        <v>45808.0</v>
      </c>
      <c r="R72" s="7">
        <v>8599.92</v>
      </c>
      <c r="S72" s="5" t="s">
        <v>34</v>
      </c>
      <c r="T72" s="7">
        <v>8599.92</v>
      </c>
      <c r="U72" s="5" t="s">
        <v>34</v>
      </c>
      <c r="W72" s="5">
        <f>IFERROR(__xludf.DUMMYFUNCTION("If(OR(X72=true, Y72=true), If(P72&gt;Date(2025, 6, 10), Datedif(Date(2025, 6, 10), P72, ""D""), DATEDIF(P72, Date(2025, 6, 10), ""D"") * -1))"),-10.0)</f>
        <v>-10</v>
      </c>
      <c r="X72" s="5" t="b">
        <f t="shared" si="1"/>
        <v>1</v>
      </c>
      <c r="Y72" s="5" t="b">
        <f t="shared" si="2"/>
        <v>0</v>
      </c>
      <c r="Z72" s="5" t="str">
        <f>IFERROR(__xludf.DUMMYFUNCTION("If(OR(X72=true, Y72=true), if(W72&lt;-60, ""greater 60"",if(W72&lt;-30, ""31-60"", If(W72&lt;0,""0-30"", ""Not mature""))))"),"0-30")</f>
        <v>0-30</v>
      </c>
    </row>
    <row r="73" ht="12.75" customHeight="1" outlineLevel="4">
      <c r="A73" s="5" t="s">
        <v>167</v>
      </c>
      <c r="B73" s="6">
        <v>45728.0</v>
      </c>
      <c r="C73" s="5" t="s">
        <v>29</v>
      </c>
      <c r="D73" s="5" t="s">
        <v>168</v>
      </c>
      <c r="E73" s="6">
        <v>45728.0</v>
      </c>
      <c r="G73" s="5" t="s">
        <v>31</v>
      </c>
      <c r="H73" s="5" t="s">
        <v>32</v>
      </c>
      <c r="J73" s="5" t="s">
        <v>33</v>
      </c>
      <c r="L73" s="7">
        <v>3440.88</v>
      </c>
      <c r="M73" s="6">
        <v>45747.0</v>
      </c>
      <c r="N73" s="8">
        <v>61.0</v>
      </c>
      <c r="O73" s="9">
        <v>0.0</v>
      </c>
      <c r="P73" s="6">
        <v>45808.0</v>
      </c>
      <c r="R73" s="7">
        <v>3440.88</v>
      </c>
      <c r="S73" s="5" t="s">
        <v>34</v>
      </c>
      <c r="T73" s="7">
        <v>3440.88</v>
      </c>
      <c r="U73" s="5" t="s">
        <v>34</v>
      </c>
      <c r="W73" s="5">
        <f>IFERROR(__xludf.DUMMYFUNCTION("If(OR(X73=true, Y73=true), If(P73&gt;Date(2025, 6, 10), Datedif(Date(2025, 6, 10), P73, ""D""), DATEDIF(P73, Date(2025, 6, 10), ""D"") * -1))"),-10.0)</f>
        <v>-10</v>
      </c>
      <c r="X73" s="5" t="b">
        <f t="shared" si="1"/>
        <v>1</v>
      </c>
      <c r="Y73" s="5" t="b">
        <f t="shared" si="2"/>
        <v>0</v>
      </c>
      <c r="Z73" s="5" t="str">
        <f>IFERROR(__xludf.DUMMYFUNCTION("If(OR(X73=true, Y73=true), if(W73&lt;-60, ""greater 60"",if(W73&lt;-30, ""31-60"", If(W73&lt;0,""0-30"", ""Not mature""))))"),"0-30")</f>
        <v>0-30</v>
      </c>
    </row>
    <row r="74" ht="12.75" customHeight="1" outlineLevel="4">
      <c r="A74" s="5" t="s">
        <v>169</v>
      </c>
      <c r="B74" s="6">
        <v>45747.0</v>
      </c>
      <c r="C74" s="5" t="s">
        <v>29</v>
      </c>
      <c r="D74" s="5" t="s">
        <v>170</v>
      </c>
      <c r="E74" s="6">
        <v>45747.0</v>
      </c>
      <c r="G74" s="5" t="s">
        <v>31</v>
      </c>
      <c r="H74" s="5" t="s">
        <v>32</v>
      </c>
      <c r="J74" s="5" t="s">
        <v>33</v>
      </c>
      <c r="L74" s="7">
        <v>1219.68</v>
      </c>
      <c r="M74" s="6">
        <v>45747.0</v>
      </c>
      <c r="N74" s="8">
        <v>61.0</v>
      </c>
      <c r="O74" s="9">
        <v>0.0</v>
      </c>
      <c r="P74" s="6">
        <v>45808.0</v>
      </c>
      <c r="R74" s="7">
        <v>1219.68</v>
      </c>
      <c r="S74" s="5" t="s">
        <v>34</v>
      </c>
      <c r="T74" s="7">
        <v>1219.68</v>
      </c>
      <c r="U74" s="5" t="s">
        <v>34</v>
      </c>
      <c r="W74" s="5">
        <f>IFERROR(__xludf.DUMMYFUNCTION("If(OR(X74=true, Y74=true), If(P74&gt;Date(2025, 6, 10), Datedif(Date(2025, 6, 10), P74, ""D""), DATEDIF(P74, Date(2025, 6, 10), ""D"") * -1))"),-10.0)</f>
        <v>-10</v>
      </c>
      <c r="X74" s="5" t="b">
        <f t="shared" si="1"/>
        <v>1</v>
      </c>
      <c r="Y74" s="5" t="b">
        <f t="shared" si="2"/>
        <v>0</v>
      </c>
      <c r="Z74" s="5" t="str">
        <f>IFERROR(__xludf.DUMMYFUNCTION("If(OR(X74=true, Y74=true), if(W74&lt;-60, ""greater 60"",if(W74&lt;-30, ""31-60"", If(W74&lt;0,""0-30"", ""Not mature""))))"),"0-30")</f>
        <v>0-30</v>
      </c>
    </row>
    <row r="75" ht="12.75" customHeight="1" outlineLevel="4">
      <c r="A75" s="5" t="s">
        <v>171</v>
      </c>
      <c r="B75" s="6">
        <v>45747.0</v>
      </c>
      <c r="C75" s="5" t="s">
        <v>29</v>
      </c>
      <c r="D75" s="5" t="s">
        <v>172</v>
      </c>
      <c r="E75" s="6">
        <v>45747.0</v>
      </c>
      <c r="G75" s="5" t="s">
        <v>31</v>
      </c>
      <c r="H75" s="5" t="s">
        <v>32</v>
      </c>
      <c r="J75" s="5" t="s">
        <v>33</v>
      </c>
      <c r="L75" s="7">
        <v>1219.68</v>
      </c>
      <c r="M75" s="6">
        <v>45747.0</v>
      </c>
      <c r="N75" s="8">
        <v>61.0</v>
      </c>
      <c r="O75" s="9">
        <v>0.0</v>
      </c>
      <c r="P75" s="6">
        <v>45808.0</v>
      </c>
      <c r="R75" s="7">
        <v>1219.68</v>
      </c>
      <c r="S75" s="5" t="s">
        <v>34</v>
      </c>
      <c r="T75" s="7">
        <v>1219.68</v>
      </c>
      <c r="U75" s="5" t="s">
        <v>34</v>
      </c>
      <c r="W75" s="5">
        <f>IFERROR(__xludf.DUMMYFUNCTION("If(OR(X75=true, Y75=true), If(P75&gt;Date(2025, 6, 10), Datedif(Date(2025, 6, 10), P75, ""D""), DATEDIF(P75, Date(2025, 6, 10), ""D"") * -1))"),-10.0)</f>
        <v>-10</v>
      </c>
      <c r="X75" s="5" t="b">
        <f t="shared" si="1"/>
        <v>1</v>
      </c>
      <c r="Y75" s="5" t="b">
        <f t="shared" si="2"/>
        <v>0</v>
      </c>
      <c r="Z75" s="5" t="str">
        <f>IFERROR(__xludf.DUMMYFUNCTION("If(OR(X75=true, Y75=true), if(W75&lt;-60, ""greater 60"",if(W75&lt;-30, ""31-60"", If(W75&lt;0,""0-30"", ""Not mature""))))"),"0-30")</f>
        <v>0-30</v>
      </c>
    </row>
    <row r="76" ht="12.75" customHeight="1" outlineLevel="4">
      <c r="A76" s="5" t="s">
        <v>173</v>
      </c>
      <c r="B76" s="6">
        <v>45748.0</v>
      </c>
      <c r="C76" s="5" t="s">
        <v>29</v>
      </c>
      <c r="D76" s="5" t="s">
        <v>174</v>
      </c>
      <c r="E76" s="6">
        <v>45748.0</v>
      </c>
      <c r="G76" s="5" t="s">
        <v>31</v>
      </c>
      <c r="H76" s="5" t="s">
        <v>32</v>
      </c>
      <c r="J76" s="5" t="s">
        <v>33</v>
      </c>
      <c r="L76" s="7">
        <v>2977.92</v>
      </c>
      <c r="M76" s="6">
        <v>45777.0</v>
      </c>
      <c r="N76" s="8">
        <v>61.0</v>
      </c>
      <c r="O76" s="9">
        <v>0.0</v>
      </c>
      <c r="P76" s="6">
        <v>45838.0</v>
      </c>
      <c r="R76" s="7">
        <v>2977.92</v>
      </c>
      <c r="S76" s="5" t="s">
        <v>34</v>
      </c>
      <c r="T76" s="7">
        <v>2977.92</v>
      </c>
      <c r="U76" s="5" t="s">
        <v>34</v>
      </c>
      <c r="W76" s="5">
        <f>IFERROR(__xludf.DUMMYFUNCTION("If(OR(X76=true, Y76=true), If(P76&gt;Date(2025, 6, 10), Datedif(Date(2025, 6, 10), P76, ""D""), DATEDIF(P76, Date(2025, 6, 10), ""D"") * -1))"),20.0)</f>
        <v>20</v>
      </c>
      <c r="X76" s="5" t="b">
        <f t="shared" si="1"/>
        <v>1</v>
      </c>
      <c r="Y76" s="5" t="b">
        <f t="shared" si="2"/>
        <v>0</v>
      </c>
      <c r="Z76" s="5" t="str">
        <f>IFERROR(__xludf.DUMMYFUNCTION("If(OR(X76=true, Y76=true), if(W76&lt;-60, ""greater 60"",if(W76&lt;-30, ""31-60"", If(W76&lt;0,""0-30"", ""Not mature""))))"),"Not mature")</f>
        <v>Not mature</v>
      </c>
    </row>
    <row r="77" ht="12.75" customHeight="1" outlineLevel="4">
      <c r="A77" s="5" t="s">
        <v>175</v>
      </c>
      <c r="B77" s="6">
        <v>45785.0</v>
      </c>
      <c r="C77" s="5" t="s">
        <v>29</v>
      </c>
      <c r="D77" s="5" t="s">
        <v>176</v>
      </c>
      <c r="E77" s="6">
        <v>45785.0</v>
      </c>
      <c r="G77" s="5" t="s">
        <v>31</v>
      </c>
      <c r="H77" s="5" t="s">
        <v>32</v>
      </c>
      <c r="J77" s="5" t="s">
        <v>33</v>
      </c>
      <c r="L77" s="7">
        <v>3992.16</v>
      </c>
      <c r="M77" s="6">
        <v>45808.0</v>
      </c>
      <c r="N77" s="8">
        <v>61.0</v>
      </c>
      <c r="O77" s="9">
        <v>0.0</v>
      </c>
      <c r="P77" s="6">
        <v>45869.0</v>
      </c>
      <c r="R77" s="7">
        <v>3992.16</v>
      </c>
      <c r="S77" s="5" t="s">
        <v>34</v>
      </c>
      <c r="T77" s="7">
        <v>3992.16</v>
      </c>
      <c r="U77" s="5" t="s">
        <v>34</v>
      </c>
      <c r="W77" s="5">
        <f>IFERROR(__xludf.DUMMYFUNCTION("If(OR(X77=true, Y77=true), If(P77&gt;Date(2025, 6, 10), Datedif(Date(2025, 6, 10), P77, ""D""), DATEDIF(P77, Date(2025, 6, 10), ""D"") * -1))"),51.0)</f>
        <v>51</v>
      </c>
      <c r="X77" s="5" t="b">
        <f t="shared" si="1"/>
        <v>1</v>
      </c>
      <c r="Y77" s="5" t="b">
        <f t="shared" si="2"/>
        <v>0</v>
      </c>
      <c r="Z77" s="5" t="str">
        <f>IFERROR(__xludf.DUMMYFUNCTION("If(OR(X77=true, Y77=true), if(W77&lt;-60, ""greater 60"",if(W77&lt;-30, ""31-60"", If(W77&lt;0,""0-30"", ""Not mature""))))"),"Not mature")</f>
        <v>Not mature</v>
      </c>
    </row>
    <row r="78" ht="12.75" customHeight="1" outlineLevel="4">
      <c r="A78" s="5" t="s">
        <v>177</v>
      </c>
      <c r="B78" s="6">
        <v>45777.0</v>
      </c>
      <c r="C78" s="5" t="s">
        <v>112</v>
      </c>
      <c r="D78" s="5" t="s">
        <v>178</v>
      </c>
      <c r="E78" s="6">
        <v>45777.0</v>
      </c>
      <c r="G78" s="5" t="s">
        <v>114</v>
      </c>
      <c r="H78" s="5" t="s">
        <v>115</v>
      </c>
      <c r="J78" s="5" t="s">
        <v>33</v>
      </c>
      <c r="L78" s="7">
        <v>0.0</v>
      </c>
      <c r="M78" s="6">
        <v>45777.0</v>
      </c>
      <c r="N78" s="8">
        <v>0.0</v>
      </c>
      <c r="O78" s="9">
        <v>0.0</v>
      </c>
      <c r="P78" s="6">
        <v>45777.0</v>
      </c>
      <c r="R78" s="7">
        <v>-1046.39</v>
      </c>
      <c r="S78" s="5" t="s">
        <v>34</v>
      </c>
      <c r="T78" s="7">
        <v>-1046.39</v>
      </c>
      <c r="U78" s="5" t="s">
        <v>34</v>
      </c>
      <c r="W78" s="5">
        <f>IFERROR(__xludf.DUMMYFUNCTION("If(OR(X78=true, Y78=true), If(P78&gt;Date(2025, 6, 10), Datedif(Date(2025, 6, 10), P78, ""D""), DATEDIF(P78, Date(2025, 6, 10), ""D"") * -1))"),-41.0)</f>
        <v>-41</v>
      </c>
      <c r="X78" s="5" t="b">
        <f t="shared" si="1"/>
        <v>0</v>
      </c>
      <c r="Y78" s="5" t="b">
        <f t="shared" si="2"/>
        <v>1</v>
      </c>
      <c r="Z78" s="5" t="str">
        <f>IFERROR(__xludf.DUMMYFUNCTION("If(OR(X78=true, Y78=true), if(W78&lt;-60, ""greater 60"",if(W78&lt;-30, ""31-60"", If(W78&lt;0,""0-30"", ""Not mature""))))"),"31-60")</f>
        <v>31-60</v>
      </c>
    </row>
    <row r="79" ht="12.75" customHeight="1" outlineLevel="4">
      <c r="A79" s="5" t="s">
        <v>179</v>
      </c>
      <c r="B79" s="6">
        <v>45793.0</v>
      </c>
      <c r="C79" s="5" t="s">
        <v>112</v>
      </c>
      <c r="D79" s="5" t="s">
        <v>180</v>
      </c>
      <c r="E79" s="6">
        <v>45793.0</v>
      </c>
      <c r="G79" s="5" t="s">
        <v>114</v>
      </c>
      <c r="H79" s="5" t="s">
        <v>115</v>
      </c>
      <c r="J79" s="5" t="s">
        <v>33</v>
      </c>
      <c r="L79" s="7">
        <v>0.0</v>
      </c>
      <c r="M79" s="6">
        <v>45793.0</v>
      </c>
      <c r="N79" s="8">
        <v>0.0</v>
      </c>
      <c r="O79" s="9">
        <v>0.0</v>
      </c>
      <c r="P79" s="6">
        <v>45793.0</v>
      </c>
      <c r="R79" s="7">
        <v>-17670.01</v>
      </c>
      <c r="S79" s="5" t="s">
        <v>34</v>
      </c>
      <c r="T79" s="7">
        <v>-17670.01</v>
      </c>
      <c r="U79" s="5" t="s">
        <v>34</v>
      </c>
      <c r="W79" s="5">
        <f>IFERROR(__xludf.DUMMYFUNCTION("If(OR(X79=true, Y79=true), If(P79&gt;Date(2025, 6, 10), Datedif(Date(2025, 6, 10), P79, ""D""), DATEDIF(P79, Date(2025, 6, 10), ""D"") * -1))"),-25.0)</f>
        <v>-25</v>
      </c>
      <c r="X79" s="5" t="b">
        <f t="shared" si="1"/>
        <v>0</v>
      </c>
      <c r="Y79" s="5" t="b">
        <f t="shared" si="2"/>
        <v>1</v>
      </c>
      <c r="Z79" s="5" t="str">
        <f>IFERROR(__xludf.DUMMYFUNCTION("If(OR(X79=true, Y79=true), if(W79&lt;-60, ""greater 60"",if(W79&lt;-30, ""31-60"", If(W79&lt;0,""0-30"", ""Not mature""))))"),"0-30")</f>
        <v>0-30</v>
      </c>
    </row>
    <row r="80" ht="12.75" customHeight="1" outlineLevel="3">
      <c r="A80" s="12" t="s">
        <v>181</v>
      </c>
      <c r="B80" s="13"/>
      <c r="C80" s="12"/>
      <c r="D80" s="12"/>
      <c r="E80" s="13"/>
      <c r="F80" s="12"/>
      <c r="G80" s="12"/>
      <c r="H80" s="12"/>
      <c r="I80" s="12"/>
      <c r="J80" s="12"/>
      <c r="K80" s="12"/>
      <c r="L80" s="14"/>
      <c r="M80" s="13"/>
      <c r="N80" s="14"/>
      <c r="O80" s="14"/>
      <c r="P80" s="13"/>
      <c r="Q80" s="12"/>
      <c r="R80" s="15">
        <v>9864.24</v>
      </c>
      <c r="S80" s="12" t="s">
        <v>34</v>
      </c>
      <c r="T80" s="15">
        <v>9864.24</v>
      </c>
      <c r="U80" s="12" t="s">
        <v>34</v>
      </c>
      <c r="V80" s="12"/>
      <c r="W80" s="5" t="b">
        <f>IFERROR(__xludf.DUMMYFUNCTION("If(OR(X80=true, Y80=true), If(P80&gt;Date(2025, 6, 10), Datedif(Date(2025, 6, 10), P80, ""D""), DATEDIF(P80, Date(2025, 6, 10), ""D"") * -1))"),FALSE)</f>
        <v>0</v>
      </c>
      <c r="X80" s="5" t="b">
        <f t="shared" si="1"/>
        <v>0</v>
      </c>
      <c r="Y80" s="5" t="b">
        <f t="shared" si="2"/>
        <v>0</v>
      </c>
      <c r="Z80" s="5" t="b">
        <f>IFERROR(__xludf.DUMMYFUNCTION("If(OR(X80=true, Y80=true), if(W80&lt;-60, ""greater 60"",if(W80&lt;-30, ""31-60"", If(W80&lt;0,""0-30"", ""Not mature""))))"),FALSE)</f>
        <v>0</v>
      </c>
    </row>
    <row r="81" ht="12.75" customHeight="1" outlineLevel="4">
      <c r="A81" s="5" t="s">
        <v>182</v>
      </c>
      <c r="B81" s="6">
        <v>45751.0</v>
      </c>
      <c r="C81" s="5" t="s">
        <v>29</v>
      </c>
      <c r="D81" s="5" t="s">
        <v>183</v>
      </c>
      <c r="E81" s="6">
        <v>45751.0</v>
      </c>
      <c r="G81" s="5" t="s">
        <v>31</v>
      </c>
      <c r="H81" s="5" t="s">
        <v>32</v>
      </c>
      <c r="J81" s="5" t="s">
        <v>33</v>
      </c>
      <c r="L81" s="7">
        <v>3367.2</v>
      </c>
      <c r="M81" s="6">
        <v>45751.0</v>
      </c>
      <c r="N81" s="8">
        <v>45.0</v>
      </c>
      <c r="O81" s="9">
        <v>0.0</v>
      </c>
      <c r="P81" s="6">
        <v>45796.0</v>
      </c>
      <c r="R81" s="7">
        <v>3367.2</v>
      </c>
      <c r="S81" s="5" t="s">
        <v>34</v>
      </c>
      <c r="T81" s="7">
        <v>3367.2</v>
      </c>
      <c r="U81" s="5" t="s">
        <v>34</v>
      </c>
      <c r="W81" s="5">
        <f>IFERROR(__xludf.DUMMYFUNCTION("If(OR(X81=true, Y81=true), If(P81&gt;Date(2025, 6, 10), Datedif(Date(2025, 6, 10), P81, ""D""), DATEDIF(P81, Date(2025, 6, 10), ""D"") * -1))"),-22.0)</f>
        <v>-22</v>
      </c>
      <c r="X81" s="5" t="b">
        <f t="shared" si="1"/>
        <v>1</v>
      </c>
      <c r="Y81" s="5" t="b">
        <f t="shared" si="2"/>
        <v>0</v>
      </c>
      <c r="Z81" s="5" t="str">
        <f>IFERROR(__xludf.DUMMYFUNCTION("If(OR(X81=true, Y81=true), if(W81&lt;-60, ""greater 60"",if(W81&lt;-30, ""31-60"", If(W81&lt;0,""0-30"", ""Not mature""))))"),"0-30")</f>
        <v>0-30</v>
      </c>
    </row>
    <row r="82" ht="12.75" customHeight="1" outlineLevel="4">
      <c r="A82" s="5" t="s">
        <v>184</v>
      </c>
      <c r="B82" s="6">
        <v>45792.0</v>
      </c>
      <c r="C82" s="5" t="s">
        <v>29</v>
      </c>
      <c r="D82" s="5" t="s">
        <v>185</v>
      </c>
      <c r="E82" s="6">
        <v>45792.0</v>
      </c>
      <c r="G82" s="5" t="s">
        <v>31</v>
      </c>
      <c r="H82" s="5" t="s">
        <v>32</v>
      </c>
      <c r="J82" s="5" t="s">
        <v>33</v>
      </c>
      <c r="L82" s="7">
        <v>5043.8</v>
      </c>
      <c r="M82" s="6">
        <v>45792.0</v>
      </c>
      <c r="N82" s="8">
        <v>45.0</v>
      </c>
      <c r="O82" s="9">
        <v>0.0</v>
      </c>
      <c r="P82" s="6">
        <v>45837.0</v>
      </c>
      <c r="R82" s="7">
        <v>5043.8</v>
      </c>
      <c r="S82" s="5" t="s">
        <v>34</v>
      </c>
      <c r="T82" s="7">
        <v>5043.8</v>
      </c>
      <c r="U82" s="5" t="s">
        <v>34</v>
      </c>
      <c r="W82" s="5">
        <f>IFERROR(__xludf.DUMMYFUNCTION("If(OR(X82=true, Y82=true), If(P82&gt;Date(2025, 6, 10), Datedif(Date(2025, 6, 10), P82, ""D""), DATEDIF(P82, Date(2025, 6, 10), ""D"") * -1))"),19.0)</f>
        <v>19</v>
      </c>
      <c r="X82" s="5" t="b">
        <f t="shared" si="1"/>
        <v>1</v>
      </c>
      <c r="Y82" s="5" t="b">
        <f t="shared" si="2"/>
        <v>0</v>
      </c>
      <c r="Z82" s="5" t="str">
        <f>IFERROR(__xludf.DUMMYFUNCTION("If(OR(X82=true, Y82=true), if(W82&lt;-60, ""greater 60"",if(W82&lt;-30, ""31-60"", If(W82&lt;0,""0-30"", ""Not mature""))))"),"Not mature")</f>
        <v>Not mature</v>
      </c>
    </row>
    <row r="83" ht="12.75" customHeight="1" outlineLevel="3">
      <c r="A83" s="12" t="s">
        <v>186</v>
      </c>
      <c r="B83" s="13"/>
      <c r="C83" s="12"/>
      <c r="D83" s="12"/>
      <c r="E83" s="13"/>
      <c r="F83" s="12"/>
      <c r="G83" s="12"/>
      <c r="H83" s="12"/>
      <c r="I83" s="12"/>
      <c r="J83" s="12"/>
      <c r="K83" s="12"/>
      <c r="L83" s="14"/>
      <c r="M83" s="13"/>
      <c r="N83" s="14"/>
      <c r="O83" s="14"/>
      <c r="P83" s="13"/>
      <c r="Q83" s="12"/>
      <c r="R83" s="15">
        <v>8411.0</v>
      </c>
      <c r="S83" s="12" t="s">
        <v>34</v>
      </c>
      <c r="T83" s="15">
        <v>8411.0</v>
      </c>
      <c r="U83" s="12" t="s">
        <v>34</v>
      </c>
      <c r="V83" s="12"/>
      <c r="W83" s="5" t="b">
        <f>IFERROR(__xludf.DUMMYFUNCTION("If(OR(X83=true, Y83=true), If(P83&gt;Date(2025, 6, 10), Datedif(Date(2025, 6, 10), P83, ""D""), DATEDIF(P83, Date(2025, 6, 10), ""D"") * -1))"),FALSE)</f>
        <v>0</v>
      </c>
      <c r="X83" s="5" t="b">
        <f t="shared" si="1"/>
        <v>0</v>
      </c>
      <c r="Y83" s="5" t="b">
        <f t="shared" si="2"/>
        <v>0</v>
      </c>
      <c r="Z83" s="5" t="b">
        <f>IFERROR(__xludf.DUMMYFUNCTION("If(OR(X83=true, Y83=true), if(W83&lt;-60, ""greater 60"",if(W83&lt;-30, ""31-60"", If(W83&lt;0,""0-30"", ""Not mature""))))"),FALSE)</f>
        <v>0</v>
      </c>
    </row>
    <row r="84" ht="12.75" customHeight="1" outlineLevel="4">
      <c r="A84" s="5" t="s">
        <v>187</v>
      </c>
      <c r="B84" s="6">
        <v>45733.0</v>
      </c>
      <c r="C84" s="5" t="s">
        <v>29</v>
      </c>
      <c r="D84" s="5" t="s">
        <v>188</v>
      </c>
      <c r="E84" s="6">
        <v>45733.0</v>
      </c>
      <c r="G84" s="5" t="s">
        <v>31</v>
      </c>
      <c r="H84" s="5" t="s">
        <v>32</v>
      </c>
      <c r="J84" s="5" t="s">
        <v>33</v>
      </c>
      <c r="L84" s="7">
        <v>18209.17</v>
      </c>
      <c r="M84" s="6">
        <v>45747.0</v>
      </c>
      <c r="N84" s="8">
        <v>61.0</v>
      </c>
      <c r="O84" s="9">
        <v>0.0</v>
      </c>
      <c r="P84" s="6">
        <v>45808.0</v>
      </c>
      <c r="R84" s="7">
        <v>18209.17</v>
      </c>
      <c r="S84" s="5" t="s">
        <v>34</v>
      </c>
      <c r="T84" s="7">
        <v>18209.17</v>
      </c>
      <c r="U84" s="5" t="s">
        <v>34</v>
      </c>
      <c r="W84" s="5">
        <f>IFERROR(__xludf.DUMMYFUNCTION("If(OR(X84=true, Y84=true), If(P84&gt;Date(2025, 6, 10), Datedif(Date(2025, 6, 10), P84, ""D""), DATEDIF(P84, Date(2025, 6, 10), ""D"") * -1))"),-10.0)</f>
        <v>-10</v>
      </c>
      <c r="X84" s="5" t="b">
        <f t="shared" si="1"/>
        <v>1</v>
      </c>
      <c r="Y84" s="5" t="b">
        <f t="shared" si="2"/>
        <v>0</v>
      </c>
      <c r="Z84" s="5" t="str">
        <f>IFERROR(__xludf.DUMMYFUNCTION("If(OR(X84=true, Y84=true), if(W84&lt;-60, ""greater 60"",if(W84&lt;-30, ""31-60"", If(W84&lt;0,""0-30"", ""Not mature""))))"),"0-30")</f>
        <v>0-30</v>
      </c>
    </row>
    <row r="85" ht="12.75" customHeight="1" outlineLevel="4">
      <c r="A85" s="5" t="s">
        <v>189</v>
      </c>
      <c r="B85" s="6">
        <v>45790.0</v>
      </c>
      <c r="C85" s="5" t="s">
        <v>29</v>
      </c>
      <c r="D85" s="5" t="s">
        <v>190</v>
      </c>
      <c r="E85" s="6">
        <v>45790.0</v>
      </c>
      <c r="G85" s="5" t="s">
        <v>31</v>
      </c>
      <c r="H85" s="5" t="s">
        <v>32</v>
      </c>
      <c r="J85" s="5" t="s">
        <v>33</v>
      </c>
      <c r="L85" s="7">
        <v>28844.4</v>
      </c>
      <c r="M85" s="6">
        <v>45808.0</v>
      </c>
      <c r="N85" s="8">
        <v>61.0</v>
      </c>
      <c r="O85" s="9">
        <v>0.0</v>
      </c>
      <c r="P85" s="6">
        <v>45869.0</v>
      </c>
      <c r="R85" s="7">
        <v>28844.4</v>
      </c>
      <c r="S85" s="5" t="s">
        <v>34</v>
      </c>
      <c r="T85" s="7">
        <v>28844.4</v>
      </c>
      <c r="U85" s="5" t="s">
        <v>34</v>
      </c>
      <c r="W85" s="5">
        <f>IFERROR(__xludf.DUMMYFUNCTION("If(OR(X85=true, Y85=true), If(P85&gt;Date(2025, 6, 10), Datedif(Date(2025, 6, 10), P85, ""D""), DATEDIF(P85, Date(2025, 6, 10), ""D"") * -1))"),51.0)</f>
        <v>51</v>
      </c>
      <c r="X85" s="5" t="b">
        <f t="shared" si="1"/>
        <v>1</v>
      </c>
      <c r="Y85" s="5" t="b">
        <f t="shared" si="2"/>
        <v>0</v>
      </c>
      <c r="Z85" s="5" t="str">
        <f>IFERROR(__xludf.DUMMYFUNCTION("If(OR(X85=true, Y85=true), if(W85&lt;-60, ""greater 60"",if(W85&lt;-30, ""31-60"", If(W85&lt;0,""0-30"", ""Not mature""))))"),"Not mature")</f>
        <v>Not mature</v>
      </c>
    </row>
    <row r="86" ht="12.75" customHeight="1" outlineLevel="4">
      <c r="A86" s="5" t="s">
        <v>191</v>
      </c>
      <c r="B86" s="6">
        <v>45790.0</v>
      </c>
      <c r="C86" s="5" t="s">
        <v>29</v>
      </c>
      <c r="D86" s="5" t="s">
        <v>192</v>
      </c>
      <c r="E86" s="6">
        <v>45790.0</v>
      </c>
      <c r="G86" s="5" t="s">
        <v>31</v>
      </c>
      <c r="H86" s="5" t="s">
        <v>32</v>
      </c>
      <c r="J86" s="5" t="s">
        <v>33</v>
      </c>
      <c r="L86" s="7">
        <v>6672.0</v>
      </c>
      <c r="M86" s="6">
        <v>45808.0</v>
      </c>
      <c r="N86" s="8">
        <v>61.0</v>
      </c>
      <c r="O86" s="9">
        <v>0.0</v>
      </c>
      <c r="P86" s="6">
        <v>45869.0</v>
      </c>
      <c r="R86" s="7">
        <v>6672.0</v>
      </c>
      <c r="S86" s="5" t="s">
        <v>34</v>
      </c>
      <c r="T86" s="7">
        <v>6672.0</v>
      </c>
      <c r="U86" s="5" t="s">
        <v>34</v>
      </c>
      <c r="W86" s="5">
        <f>IFERROR(__xludf.DUMMYFUNCTION("If(OR(X86=true, Y86=true), If(P86&gt;Date(2025, 6, 10), Datedif(Date(2025, 6, 10), P86, ""D""), DATEDIF(P86, Date(2025, 6, 10), ""D"") * -1))"),51.0)</f>
        <v>51</v>
      </c>
      <c r="X86" s="5" t="b">
        <f t="shared" si="1"/>
        <v>1</v>
      </c>
      <c r="Y86" s="5" t="b">
        <f t="shared" si="2"/>
        <v>0</v>
      </c>
      <c r="Z86" s="5" t="str">
        <f>IFERROR(__xludf.DUMMYFUNCTION("If(OR(X86=true, Y86=true), if(W86&lt;-60, ""greater 60"",if(W86&lt;-30, ""31-60"", If(W86&lt;0,""0-30"", ""Not mature""))))"),"Not mature")</f>
        <v>Not mature</v>
      </c>
    </row>
    <row r="87" ht="12.75" customHeight="1" outlineLevel="3">
      <c r="A87" s="12" t="s">
        <v>193</v>
      </c>
      <c r="B87" s="13"/>
      <c r="C87" s="12"/>
      <c r="D87" s="12"/>
      <c r="E87" s="13"/>
      <c r="F87" s="12"/>
      <c r="G87" s="12"/>
      <c r="H87" s="12"/>
      <c r="I87" s="12"/>
      <c r="J87" s="12"/>
      <c r="K87" s="12"/>
      <c r="L87" s="14"/>
      <c r="M87" s="13"/>
      <c r="N87" s="14"/>
      <c r="O87" s="14"/>
      <c r="P87" s="13"/>
      <c r="Q87" s="12"/>
      <c r="R87" s="15">
        <v>53725.57</v>
      </c>
      <c r="S87" s="12" t="s">
        <v>34</v>
      </c>
      <c r="T87" s="15">
        <v>53725.57</v>
      </c>
      <c r="U87" s="12" t="s">
        <v>34</v>
      </c>
      <c r="V87" s="12"/>
      <c r="W87" s="5" t="b">
        <f>IFERROR(__xludf.DUMMYFUNCTION("If(OR(X87=true, Y87=true), If(P87&gt;Date(2025, 6, 10), Datedif(Date(2025, 6, 10), P87, ""D""), DATEDIF(P87, Date(2025, 6, 10), ""D"") * -1))"),FALSE)</f>
        <v>0</v>
      </c>
      <c r="X87" s="5" t="b">
        <f t="shared" si="1"/>
        <v>0</v>
      </c>
      <c r="Y87" s="5" t="b">
        <f t="shared" si="2"/>
        <v>0</v>
      </c>
      <c r="Z87" s="5" t="b">
        <f>IFERROR(__xludf.DUMMYFUNCTION("If(OR(X87=true, Y87=true), if(W87&lt;-60, ""greater 60"",if(W87&lt;-30, ""31-60"", If(W87&lt;0,""0-30"", ""Not mature""))))"),FALSE)</f>
        <v>0</v>
      </c>
    </row>
    <row r="88" ht="12.75" customHeight="1" outlineLevel="4">
      <c r="A88" s="5" t="s">
        <v>194</v>
      </c>
      <c r="B88" s="6">
        <v>45701.0</v>
      </c>
      <c r="C88" s="5" t="s">
        <v>29</v>
      </c>
      <c r="D88" s="5" t="s">
        <v>195</v>
      </c>
      <c r="E88" s="6">
        <v>45701.0</v>
      </c>
      <c r="G88" s="5" t="s">
        <v>31</v>
      </c>
      <c r="H88" s="5" t="s">
        <v>32</v>
      </c>
      <c r="J88" s="5" t="s">
        <v>31</v>
      </c>
      <c r="L88" s="7">
        <v>8171.52</v>
      </c>
      <c r="M88" s="6">
        <v>45701.0</v>
      </c>
      <c r="N88" s="8">
        <v>90.0</v>
      </c>
      <c r="O88" s="9">
        <v>0.0</v>
      </c>
      <c r="P88" s="6">
        <v>45791.0</v>
      </c>
      <c r="R88" s="7">
        <v>8171.52</v>
      </c>
      <c r="S88" s="5" t="s">
        <v>34</v>
      </c>
      <c r="T88" s="7">
        <v>8171.52</v>
      </c>
      <c r="U88" s="5" t="s">
        <v>34</v>
      </c>
      <c r="W88" s="5">
        <f>IFERROR(__xludf.DUMMYFUNCTION("If(OR(X88=true, Y88=true), If(P88&gt;Date(2025, 6, 10), Datedif(Date(2025, 6, 10), P88, ""D""), DATEDIF(P88, Date(2025, 6, 10), ""D"") * -1))"),-27.0)</f>
        <v>-27</v>
      </c>
      <c r="X88" s="5" t="b">
        <f t="shared" si="1"/>
        <v>1</v>
      </c>
      <c r="Y88" s="5" t="b">
        <f t="shared" si="2"/>
        <v>0</v>
      </c>
      <c r="Z88" s="5" t="str">
        <f>IFERROR(__xludf.DUMMYFUNCTION("If(OR(X88=true, Y88=true), if(W88&lt;-60, ""greater 60"",if(W88&lt;-30, ""31-60"", If(W88&lt;0,""0-30"", ""Not mature""))))"),"0-30")</f>
        <v>0-30</v>
      </c>
    </row>
    <row r="89" ht="12.75" customHeight="1" outlineLevel="3">
      <c r="A89" s="12" t="s">
        <v>196</v>
      </c>
      <c r="B89" s="13"/>
      <c r="C89" s="12"/>
      <c r="D89" s="12"/>
      <c r="E89" s="13"/>
      <c r="F89" s="12"/>
      <c r="G89" s="12"/>
      <c r="H89" s="12"/>
      <c r="I89" s="12"/>
      <c r="J89" s="12"/>
      <c r="K89" s="12"/>
      <c r="L89" s="14"/>
      <c r="M89" s="13"/>
      <c r="N89" s="14"/>
      <c r="O89" s="14"/>
      <c r="P89" s="13"/>
      <c r="Q89" s="12"/>
      <c r="R89" s="15">
        <v>8171.52</v>
      </c>
      <c r="S89" s="12" t="s">
        <v>34</v>
      </c>
      <c r="T89" s="15">
        <v>8171.52</v>
      </c>
      <c r="U89" s="12" t="s">
        <v>34</v>
      </c>
      <c r="V89" s="12"/>
      <c r="W89" s="5" t="b">
        <f>IFERROR(__xludf.DUMMYFUNCTION("If(OR(X89=true, Y89=true), If(P89&gt;Date(2025, 6, 10), Datedif(Date(2025, 6, 10), P89, ""D""), DATEDIF(P89, Date(2025, 6, 10), ""D"") * -1))"),FALSE)</f>
        <v>0</v>
      </c>
      <c r="X89" s="5" t="b">
        <f t="shared" si="1"/>
        <v>0</v>
      </c>
      <c r="Y89" s="5" t="b">
        <f t="shared" si="2"/>
        <v>0</v>
      </c>
      <c r="Z89" s="5" t="b">
        <f>IFERROR(__xludf.DUMMYFUNCTION("If(OR(X89=true, Y89=true), if(W89&lt;-60, ""greater 60"",if(W89&lt;-30, ""31-60"", If(W89&lt;0,""0-30"", ""Not mature""))))"),FALSE)</f>
        <v>0</v>
      </c>
    </row>
    <row r="90" ht="12.75" customHeight="1" outlineLevel="4">
      <c r="A90" s="5" t="s">
        <v>197</v>
      </c>
      <c r="B90" s="6">
        <v>45729.0</v>
      </c>
      <c r="C90" s="5" t="s">
        <v>29</v>
      </c>
      <c r="D90" s="5" t="s">
        <v>198</v>
      </c>
      <c r="E90" s="6">
        <v>45729.0</v>
      </c>
      <c r="G90" s="5" t="s">
        <v>31</v>
      </c>
      <c r="H90" s="5" t="s">
        <v>49</v>
      </c>
      <c r="J90" s="5" t="s">
        <v>33</v>
      </c>
      <c r="L90" s="7">
        <v>-430.08</v>
      </c>
      <c r="M90" s="6">
        <v>45729.0</v>
      </c>
      <c r="N90" s="8">
        <v>90.0</v>
      </c>
      <c r="O90" s="9">
        <v>0.0</v>
      </c>
      <c r="P90" s="6">
        <v>45729.0</v>
      </c>
      <c r="R90" s="7">
        <v>-430.08</v>
      </c>
      <c r="S90" s="5" t="s">
        <v>34</v>
      </c>
      <c r="T90" s="7">
        <v>-430.08</v>
      </c>
      <c r="U90" s="5" t="s">
        <v>34</v>
      </c>
      <c r="W90" s="5">
        <f>IFERROR(__xludf.DUMMYFUNCTION("If(OR(X90=true, Y90=true), If(P90&gt;Date(2025, 6, 10), Datedif(Date(2025, 6, 10), P90, ""D""), DATEDIF(P90, Date(2025, 6, 10), ""D"") * -1))"),-89.0)</f>
        <v>-89</v>
      </c>
      <c r="X90" s="5" t="b">
        <f t="shared" si="1"/>
        <v>0</v>
      </c>
      <c r="Y90" s="5" t="b">
        <f t="shared" si="2"/>
        <v>1</v>
      </c>
      <c r="Z90" s="5" t="str">
        <f>IFERROR(__xludf.DUMMYFUNCTION("If(OR(X90=true, Y90=true), if(W90&lt;-60, ""greater 60"",if(W90&lt;-30, ""31-60"", If(W90&lt;0,""0-30"", ""Not mature""))))"),"greater 60")</f>
        <v>greater 60</v>
      </c>
    </row>
    <row r="91" ht="12.75" customHeight="1" outlineLevel="4">
      <c r="A91" s="5" t="s">
        <v>199</v>
      </c>
      <c r="B91" s="6">
        <v>45665.0</v>
      </c>
      <c r="C91" s="5" t="s">
        <v>29</v>
      </c>
      <c r="D91" s="5" t="s">
        <v>200</v>
      </c>
      <c r="E91" s="6">
        <v>45665.0</v>
      </c>
      <c r="G91" s="5" t="s">
        <v>31</v>
      </c>
      <c r="H91" s="5" t="s">
        <v>32</v>
      </c>
      <c r="J91" s="5" t="s">
        <v>33</v>
      </c>
      <c r="L91" s="7">
        <v>81178.98</v>
      </c>
      <c r="M91" s="6">
        <v>45665.0</v>
      </c>
      <c r="N91" s="8">
        <v>90.0</v>
      </c>
      <c r="O91" s="9">
        <v>0.0</v>
      </c>
      <c r="P91" s="6">
        <v>45755.0</v>
      </c>
      <c r="R91" s="7">
        <v>81178.98</v>
      </c>
      <c r="S91" s="5" t="s">
        <v>34</v>
      </c>
      <c r="T91" s="7">
        <v>81178.98</v>
      </c>
      <c r="U91" s="5" t="s">
        <v>34</v>
      </c>
      <c r="W91" s="5">
        <f>IFERROR(__xludf.DUMMYFUNCTION("If(OR(X91=true, Y91=true), If(P91&gt;Date(2025, 6, 10), Datedif(Date(2025, 6, 10), P91, ""D""), DATEDIF(P91, Date(2025, 6, 10), ""D"") * -1))"),-63.0)</f>
        <v>-63</v>
      </c>
      <c r="X91" s="5" t="b">
        <f t="shared" si="1"/>
        <v>1</v>
      </c>
      <c r="Y91" s="5" t="b">
        <f t="shared" si="2"/>
        <v>0</v>
      </c>
      <c r="Z91" s="5" t="str">
        <f>IFERROR(__xludf.DUMMYFUNCTION("If(OR(X91=true, Y91=true), if(W91&lt;-60, ""greater 60"",if(W91&lt;-30, ""31-60"", If(W91&lt;0,""0-30"", ""Not mature""))))"),"greater 60")</f>
        <v>greater 60</v>
      </c>
    </row>
    <row r="92" ht="12.75" customHeight="1" outlineLevel="4">
      <c r="A92" s="5" t="s">
        <v>201</v>
      </c>
      <c r="B92" s="6">
        <v>45722.0</v>
      </c>
      <c r="C92" s="5" t="s">
        <v>29</v>
      </c>
      <c r="D92" s="5" t="s">
        <v>202</v>
      </c>
      <c r="E92" s="6">
        <v>45722.0</v>
      </c>
      <c r="G92" s="5" t="s">
        <v>31</v>
      </c>
      <c r="H92" s="5" t="s">
        <v>32</v>
      </c>
      <c r="J92" s="5" t="s">
        <v>33</v>
      </c>
      <c r="L92" s="7">
        <v>32889.6</v>
      </c>
      <c r="M92" s="6">
        <v>45722.0</v>
      </c>
      <c r="N92" s="8">
        <v>90.0</v>
      </c>
      <c r="O92" s="9">
        <v>0.0</v>
      </c>
      <c r="P92" s="6">
        <v>45812.0</v>
      </c>
      <c r="R92" s="7">
        <v>32889.6</v>
      </c>
      <c r="S92" s="5" t="s">
        <v>34</v>
      </c>
      <c r="T92" s="7">
        <v>32889.6</v>
      </c>
      <c r="U92" s="5" t="s">
        <v>34</v>
      </c>
      <c r="W92" s="5">
        <f>IFERROR(__xludf.DUMMYFUNCTION("If(OR(X92=true, Y92=true), If(P92&gt;Date(2025, 6, 10), Datedif(Date(2025, 6, 10), P92, ""D""), DATEDIF(P92, Date(2025, 6, 10), ""D"") * -1))"),-6.0)</f>
        <v>-6</v>
      </c>
      <c r="X92" s="5" t="b">
        <f t="shared" si="1"/>
        <v>1</v>
      </c>
      <c r="Y92" s="5" t="b">
        <f t="shared" si="2"/>
        <v>0</v>
      </c>
      <c r="Z92" s="5" t="str">
        <f>IFERROR(__xludf.DUMMYFUNCTION("If(OR(X92=true, Y92=true), if(W92&lt;-60, ""greater 60"",if(W92&lt;-30, ""31-60"", If(W92&lt;0,""0-30"", ""Not mature""))))"),"0-30")</f>
        <v>0-30</v>
      </c>
    </row>
    <row r="93" ht="12.75" customHeight="1" outlineLevel="4">
      <c r="A93" s="5" t="s">
        <v>203</v>
      </c>
      <c r="B93" s="6">
        <v>45749.0</v>
      </c>
      <c r="C93" s="5" t="s">
        <v>29</v>
      </c>
      <c r="D93" s="5" t="s">
        <v>204</v>
      </c>
      <c r="E93" s="6">
        <v>45749.0</v>
      </c>
      <c r="G93" s="5" t="s">
        <v>31</v>
      </c>
      <c r="H93" s="5" t="s">
        <v>32</v>
      </c>
      <c r="J93" s="5" t="s">
        <v>33</v>
      </c>
      <c r="L93" s="7">
        <v>11788.8</v>
      </c>
      <c r="M93" s="6">
        <v>45749.0</v>
      </c>
      <c r="N93" s="8">
        <v>90.0</v>
      </c>
      <c r="O93" s="9">
        <v>0.0</v>
      </c>
      <c r="P93" s="6">
        <v>45839.0</v>
      </c>
      <c r="R93" s="7">
        <v>11788.8</v>
      </c>
      <c r="S93" s="5" t="s">
        <v>34</v>
      </c>
      <c r="T93" s="7">
        <v>11788.8</v>
      </c>
      <c r="U93" s="5" t="s">
        <v>34</v>
      </c>
      <c r="W93" s="5">
        <f>IFERROR(__xludf.DUMMYFUNCTION("If(OR(X93=true, Y93=true), If(P93&gt;Date(2025, 6, 10), Datedif(Date(2025, 6, 10), P93, ""D""), DATEDIF(P93, Date(2025, 6, 10), ""D"") * -1))"),21.0)</f>
        <v>21</v>
      </c>
      <c r="X93" s="5" t="b">
        <f t="shared" si="1"/>
        <v>1</v>
      </c>
      <c r="Y93" s="5" t="b">
        <f t="shared" si="2"/>
        <v>0</v>
      </c>
      <c r="Z93" s="5" t="str">
        <f>IFERROR(__xludf.DUMMYFUNCTION("If(OR(X93=true, Y93=true), if(W93&lt;-60, ""greater 60"",if(W93&lt;-30, ""31-60"", If(W93&lt;0,""0-30"", ""Not mature""))))"),"Not mature")</f>
        <v>Not mature</v>
      </c>
    </row>
    <row r="94" ht="12.75" customHeight="1" outlineLevel="4">
      <c r="A94" s="5" t="s">
        <v>205</v>
      </c>
      <c r="B94" s="6">
        <v>45764.0</v>
      </c>
      <c r="C94" s="5" t="s">
        <v>29</v>
      </c>
      <c r="D94" s="5" t="s">
        <v>206</v>
      </c>
      <c r="E94" s="6">
        <v>45764.0</v>
      </c>
      <c r="G94" s="5" t="s">
        <v>31</v>
      </c>
      <c r="H94" s="5" t="s">
        <v>32</v>
      </c>
      <c r="J94" s="5" t="s">
        <v>33</v>
      </c>
      <c r="L94" s="7">
        <v>81516.11</v>
      </c>
      <c r="M94" s="6">
        <v>45764.0</v>
      </c>
      <c r="N94" s="8">
        <v>90.0</v>
      </c>
      <c r="O94" s="9">
        <v>0.0</v>
      </c>
      <c r="P94" s="6">
        <v>45854.0</v>
      </c>
      <c r="R94" s="7">
        <v>81516.11</v>
      </c>
      <c r="S94" s="5" t="s">
        <v>34</v>
      </c>
      <c r="T94" s="7">
        <v>81516.11</v>
      </c>
      <c r="U94" s="5" t="s">
        <v>34</v>
      </c>
      <c r="W94" s="5">
        <f>IFERROR(__xludf.DUMMYFUNCTION("If(OR(X94=true, Y94=true), If(P94&gt;Date(2025, 6, 10), Datedif(Date(2025, 6, 10), P94, ""D""), DATEDIF(P94, Date(2025, 6, 10), ""D"") * -1))"),36.0)</f>
        <v>36</v>
      </c>
      <c r="X94" s="5" t="b">
        <f t="shared" si="1"/>
        <v>1</v>
      </c>
      <c r="Y94" s="5" t="b">
        <f t="shared" si="2"/>
        <v>0</v>
      </c>
      <c r="Z94" s="5" t="str">
        <f>IFERROR(__xludf.DUMMYFUNCTION("If(OR(X94=true, Y94=true), if(W94&lt;-60, ""greater 60"",if(W94&lt;-30, ""31-60"", If(W94&lt;0,""0-30"", ""Not mature""))))"),"Not mature")</f>
        <v>Not mature</v>
      </c>
    </row>
    <row r="95" ht="12.75" customHeight="1" outlineLevel="4">
      <c r="A95" s="5" t="s">
        <v>205</v>
      </c>
      <c r="B95" s="6">
        <v>45769.0</v>
      </c>
      <c r="C95" s="5" t="s">
        <v>29</v>
      </c>
      <c r="D95" s="5" t="s">
        <v>207</v>
      </c>
      <c r="E95" s="6">
        <v>45769.0</v>
      </c>
      <c r="G95" s="5" t="s">
        <v>31</v>
      </c>
      <c r="H95" s="5" t="s">
        <v>32</v>
      </c>
      <c r="J95" s="5" t="s">
        <v>33</v>
      </c>
      <c r="L95" s="7">
        <v>2457.0</v>
      </c>
      <c r="M95" s="6">
        <v>45769.0</v>
      </c>
      <c r="N95" s="8">
        <v>90.0</v>
      </c>
      <c r="O95" s="9">
        <v>0.0</v>
      </c>
      <c r="P95" s="6">
        <v>45859.0</v>
      </c>
      <c r="R95" s="7">
        <v>2457.0</v>
      </c>
      <c r="S95" s="5" t="s">
        <v>34</v>
      </c>
      <c r="T95" s="7">
        <v>2457.0</v>
      </c>
      <c r="U95" s="5" t="s">
        <v>34</v>
      </c>
      <c r="W95" s="5">
        <f>IFERROR(__xludf.DUMMYFUNCTION("If(OR(X95=true, Y95=true), If(P95&gt;Date(2025, 6, 10), Datedif(Date(2025, 6, 10), P95, ""D""), DATEDIF(P95, Date(2025, 6, 10), ""D"") * -1))"),41.0)</f>
        <v>41</v>
      </c>
      <c r="X95" s="5" t="b">
        <f t="shared" si="1"/>
        <v>1</v>
      </c>
      <c r="Y95" s="5" t="b">
        <f t="shared" si="2"/>
        <v>0</v>
      </c>
      <c r="Z95" s="5" t="str">
        <f>IFERROR(__xludf.DUMMYFUNCTION("If(OR(X95=true, Y95=true), if(W95&lt;-60, ""greater 60"",if(W95&lt;-30, ""31-60"", If(W95&lt;0,""0-30"", ""Not mature""))))"),"Not mature")</f>
        <v>Not mature</v>
      </c>
    </row>
    <row r="96" ht="12.75" customHeight="1" outlineLevel="4">
      <c r="A96" s="5" t="s">
        <v>208</v>
      </c>
      <c r="B96" s="6">
        <v>45772.0</v>
      </c>
      <c r="C96" s="5" t="s">
        <v>29</v>
      </c>
      <c r="D96" s="5" t="s">
        <v>209</v>
      </c>
      <c r="E96" s="6">
        <v>45772.0</v>
      </c>
      <c r="G96" s="5" t="s">
        <v>31</v>
      </c>
      <c r="H96" s="5" t="s">
        <v>32</v>
      </c>
      <c r="J96" s="5" t="s">
        <v>33</v>
      </c>
      <c r="L96" s="7">
        <v>2784.0</v>
      </c>
      <c r="M96" s="6">
        <v>45772.0</v>
      </c>
      <c r="N96" s="8">
        <v>90.0</v>
      </c>
      <c r="O96" s="9">
        <v>0.0</v>
      </c>
      <c r="P96" s="6">
        <v>45862.0</v>
      </c>
      <c r="R96" s="7">
        <v>2784.0</v>
      </c>
      <c r="S96" s="5" t="s">
        <v>34</v>
      </c>
      <c r="T96" s="7">
        <v>2784.0</v>
      </c>
      <c r="U96" s="5" t="s">
        <v>34</v>
      </c>
      <c r="W96" s="5">
        <f>IFERROR(__xludf.DUMMYFUNCTION("If(OR(X96=true, Y96=true), If(P96&gt;Date(2025, 6, 10), Datedif(Date(2025, 6, 10), P96, ""D""), DATEDIF(P96, Date(2025, 6, 10), ""D"") * -1))"),44.0)</f>
        <v>44</v>
      </c>
      <c r="X96" s="5" t="b">
        <f t="shared" si="1"/>
        <v>1</v>
      </c>
      <c r="Y96" s="5" t="b">
        <f t="shared" si="2"/>
        <v>0</v>
      </c>
      <c r="Z96" s="5" t="str">
        <f>IFERROR(__xludf.DUMMYFUNCTION("If(OR(X96=true, Y96=true), if(W96&lt;-60, ""greater 60"",if(W96&lt;-30, ""31-60"", If(W96&lt;0,""0-30"", ""Not mature""))))"),"Not mature")</f>
        <v>Not mature</v>
      </c>
    </row>
    <row r="97" ht="12.75" customHeight="1" outlineLevel="4">
      <c r="A97" s="5" t="s">
        <v>138</v>
      </c>
      <c r="B97" s="6">
        <v>45763.0</v>
      </c>
      <c r="C97" s="5" t="s">
        <v>112</v>
      </c>
      <c r="D97" s="5" t="s">
        <v>210</v>
      </c>
      <c r="E97" s="6">
        <v>45763.0</v>
      </c>
      <c r="G97" s="5" t="s">
        <v>114</v>
      </c>
      <c r="H97" s="5" t="s">
        <v>115</v>
      </c>
      <c r="J97" s="5" t="s">
        <v>33</v>
      </c>
      <c r="L97" s="7">
        <v>0.0</v>
      </c>
      <c r="M97" s="6">
        <v>45763.0</v>
      </c>
      <c r="N97" s="8">
        <v>0.0</v>
      </c>
      <c r="O97" s="9">
        <v>0.0</v>
      </c>
      <c r="P97" s="6">
        <v>45763.0</v>
      </c>
      <c r="R97" s="7">
        <v>-81108.78</v>
      </c>
      <c r="S97" s="5" t="s">
        <v>34</v>
      </c>
      <c r="T97" s="7">
        <v>-81108.78</v>
      </c>
      <c r="U97" s="5" t="s">
        <v>34</v>
      </c>
      <c r="W97" s="5">
        <f>IFERROR(__xludf.DUMMYFUNCTION("If(OR(X97=true, Y97=true), If(P97&gt;Date(2025, 6, 10), Datedif(Date(2025, 6, 10), P97, ""D""), DATEDIF(P97, Date(2025, 6, 10), ""D"") * -1))"),-55.0)</f>
        <v>-55</v>
      </c>
      <c r="X97" s="5" t="b">
        <f t="shared" si="1"/>
        <v>0</v>
      </c>
      <c r="Y97" s="5" t="b">
        <f t="shared" si="2"/>
        <v>1</v>
      </c>
      <c r="Z97" s="5" t="str">
        <f>IFERROR(__xludf.DUMMYFUNCTION("If(OR(X97=true, Y97=true), if(W97&lt;-60, ""greater 60"",if(W97&lt;-30, ""31-60"", If(W97&lt;0,""0-30"", ""Not mature""))))"),"31-60")</f>
        <v>31-60</v>
      </c>
    </row>
    <row r="98" ht="12.75" customHeight="1" outlineLevel="3">
      <c r="A98" s="12" t="s">
        <v>211</v>
      </c>
      <c r="B98" s="13"/>
      <c r="C98" s="12"/>
      <c r="D98" s="12"/>
      <c r="E98" s="13"/>
      <c r="F98" s="12"/>
      <c r="G98" s="12"/>
      <c r="H98" s="12"/>
      <c r="I98" s="12"/>
      <c r="J98" s="12"/>
      <c r="K98" s="12"/>
      <c r="L98" s="14"/>
      <c r="M98" s="13"/>
      <c r="N98" s="14"/>
      <c r="O98" s="14"/>
      <c r="P98" s="13"/>
      <c r="Q98" s="12"/>
      <c r="R98" s="15">
        <v>131075.63</v>
      </c>
      <c r="S98" s="12" t="s">
        <v>34</v>
      </c>
      <c r="T98" s="15">
        <v>131075.63</v>
      </c>
      <c r="U98" s="12" t="s">
        <v>34</v>
      </c>
      <c r="V98" s="12"/>
      <c r="W98" s="5" t="b">
        <f>IFERROR(__xludf.DUMMYFUNCTION("If(OR(X98=true, Y98=true), If(P98&gt;Date(2025, 6, 10), Datedif(Date(2025, 6, 10), P98, ""D""), DATEDIF(P98, Date(2025, 6, 10), ""D"") * -1))"),FALSE)</f>
        <v>0</v>
      </c>
      <c r="X98" s="5" t="b">
        <f t="shared" si="1"/>
        <v>0</v>
      </c>
      <c r="Y98" s="5" t="b">
        <f t="shared" si="2"/>
        <v>0</v>
      </c>
      <c r="Z98" s="5" t="b">
        <f>IFERROR(__xludf.DUMMYFUNCTION("If(OR(X98=true, Y98=true), if(W98&lt;-60, ""greater 60"",if(W98&lt;-30, ""31-60"", If(W98&lt;0,""0-30"", ""Not mature""))))"),FALSE)</f>
        <v>0</v>
      </c>
    </row>
    <row r="99" ht="12.75" customHeight="1" outlineLevel="4">
      <c r="A99" s="5" t="s">
        <v>212</v>
      </c>
      <c r="B99" s="6">
        <v>45754.0</v>
      </c>
      <c r="C99" s="5" t="s">
        <v>29</v>
      </c>
      <c r="D99" s="5" t="s">
        <v>213</v>
      </c>
      <c r="E99" s="6">
        <v>45754.0</v>
      </c>
      <c r="G99" s="5" t="s">
        <v>31</v>
      </c>
      <c r="H99" s="5" t="s">
        <v>32</v>
      </c>
      <c r="J99" s="5" t="s">
        <v>33</v>
      </c>
      <c r="L99" s="7">
        <v>8459.5</v>
      </c>
      <c r="M99" s="6">
        <v>45754.0</v>
      </c>
      <c r="N99" s="8">
        <v>90.0</v>
      </c>
      <c r="O99" s="9">
        <v>0.0</v>
      </c>
      <c r="P99" s="6">
        <v>45844.0</v>
      </c>
      <c r="R99" s="7">
        <v>8459.5</v>
      </c>
      <c r="S99" s="5" t="s">
        <v>34</v>
      </c>
      <c r="T99" s="7">
        <v>8459.5</v>
      </c>
      <c r="U99" s="5" t="s">
        <v>34</v>
      </c>
      <c r="W99" s="5">
        <f>IFERROR(__xludf.DUMMYFUNCTION("If(OR(X99=true, Y99=true), If(P99&gt;Date(2025, 6, 10), Datedif(Date(2025, 6, 10), P99, ""D""), DATEDIF(P99, Date(2025, 6, 10), ""D"") * -1))"),26.0)</f>
        <v>26</v>
      </c>
      <c r="X99" s="5" t="b">
        <f t="shared" si="1"/>
        <v>1</v>
      </c>
      <c r="Y99" s="5" t="b">
        <f t="shared" si="2"/>
        <v>0</v>
      </c>
      <c r="Z99" s="5" t="str">
        <f>IFERROR(__xludf.DUMMYFUNCTION("If(OR(X99=true, Y99=true), if(W99&lt;-60, ""greater 60"",if(W99&lt;-30, ""31-60"", If(W99&lt;0,""0-30"", ""Not mature""))))"),"Not mature")</f>
        <v>Not mature</v>
      </c>
    </row>
    <row r="100" ht="12.75" customHeight="1" outlineLevel="3">
      <c r="A100" s="12" t="s">
        <v>214</v>
      </c>
      <c r="B100" s="13"/>
      <c r="C100" s="12"/>
      <c r="D100" s="12"/>
      <c r="E100" s="13"/>
      <c r="F100" s="12"/>
      <c r="G100" s="12"/>
      <c r="H100" s="12"/>
      <c r="I100" s="12"/>
      <c r="J100" s="12"/>
      <c r="K100" s="12"/>
      <c r="L100" s="14"/>
      <c r="M100" s="13"/>
      <c r="N100" s="14"/>
      <c r="O100" s="14"/>
      <c r="P100" s="13"/>
      <c r="Q100" s="12"/>
      <c r="R100" s="15">
        <v>8459.5</v>
      </c>
      <c r="S100" s="12" t="s">
        <v>34</v>
      </c>
      <c r="T100" s="15">
        <v>8459.5</v>
      </c>
      <c r="U100" s="12" t="s">
        <v>34</v>
      </c>
      <c r="V100" s="12"/>
      <c r="W100" s="5" t="b">
        <f>IFERROR(__xludf.DUMMYFUNCTION("If(OR(X100=true, Y100=true), If(P100&gt;Date(2025, 6, 10), Datedif(Date(2025, 6, 10), P100, ""D""), DATEDIF(P100, Date(2025, 6, 10), ""D"") * -1))"),FALSE)</f>
        <v>0</v>
      </c>
      <c r="X100" s="5" t="b">
        <f t="shared" si="1"/>
        <v>0</v>
      </c>
      <c r="Y100" s="5" t="b">
        <f t="shared" si="2"/>
        <v>0</v>
      </c>
      <c r="Z100" s="5" t="b">
        <f>IFERROR(__xludf.DUMMYFUNCTION("If(OR(X100=true, Y100=true), if(W100&lt;-60, ""greater 60"",if(W100&lt;-30, ""31-60"", If(W100&lt;0,""0-30"", ""Not mature""))))"),FALSE)</f>
        <v>0</v>
      </c>
    </row>
    <row r="101" ht="12.75" customHeight="1" outlineLevel="4">
      <c r="A101" s="5" t="s">
        <v>215</v>
      </c>
      <c r="B101" s="6">
        <v>45754.0</v>
      </c>
      <c r="C101" s="5" t="s">
        <v>29</v>
      </c>
      <c r="D101" s="5" t="s">
        <v>216</v>
      </c>
      <c r="E101" s="6">
        <v>45754.0</v>
      </c>
      <c r="G101" s="5" t="s">
        <v>31</v>
      </c>
      <c r="H101" s="5" t="s">
        <v>32</v>
      </c>
      <c r="J101" s="5" t="s">
        <v>33</v>
      </c>
      <c r="L101" s="7">
        <v>6243.48</v>
      </c>
      <c r="M101" s="6">
        <v>45754.0</v>
      </c>
      <c r="N101" s="8">
        <v>14.0</v>
      </c>
      <c r="O101" s="9">
        <v>3.0</v>
      </c>
      <c r="P101" s="6">
        <v>45814.0</v>
      </c>
      <c r="R101" s="7">
        <v>6243.48</v>
      </c>
      <c r="S101" s="5" t="s">
        <v>34</v>
      </c>
      <c r="T101" s="7">
        <v>6243.48</v>
      </c>
      <c r="U101" s="5" t="s">
        <v>34</v>
      </c>
      <c r="W101" s="5">
        <f>IFERROR(__xludf.DUMMYFUNCTION("If(OR(X101=true, Y101=true), If(P101&gt;Date(2025, 6, 10), Datedif(Date(2025, 6, 10), P101, ""D""), DATEDIF(P101, Date(2025, 6, 10), ""D"") * -1))"),-4.0)</f>
        <v>-4</v>
      </c>
      <c r="X101" s="5" t="b">
        <f t="shared" si="1"/>
        <v>1</v>
      </c>
      <c r="Y101" s="5" t="b">
        <f t="shared" si="2"/>
        <v>0</v>
      </c>
      <c r="Z101" s="5" t="str">
        <f>IFERROR(__xludf.DUMMYFUNCTION("If(OR(X101=true, Y101=true), if(W101&lt;-60, ""greater 60"",if(W101&lt;-30, ""31-60"", If(W101&lt;0,""0-30"", ""Not mature""))))"),"0-30")</f>
        <v>0-30</v>
      </c>
    </row>
    <row r="102" ht="12.75" customHeight="1" outlineLevel="4">
      <c r="A102" s="5" t="s">
        <v>217</v>
      </c>
      <c r="B102" s="6">
        <v>45782.0</v>
      </c>
      <c r="C102" s="5" t="s">
        <v>29</v>
      </c>
      <c r="D102" s="5" t="s">
        <v>218</v>
      </c>
      <c r="E102" s="6">
        <v>45782.0</v>
      </c>
      <c r="G102" s="5" t="s">
        <v>31</v>
      </c>
      <c r="H102" s="5" t="s">
        <v>32</v>
      </c>
      <c r="J102" s="5" t="s">
        <v>33</v>
      </c>
      <c r="L102" s="7">
        <v>9365.22</v>
      </c>
      <c r="M102" s="6">
        <v>45782.0</v>
      </c>
      <c r="N102" s="8">
        <v>14.0</v>
      </c>
      <c r="O102" s="9">
        <v>3.0</v>
      </c>
      <c r="P102" s="6">
        <v>45842.0</v>
      </c>
      <c r="R102" s="7">
        <v>9365.22</v>
      </c>
      <c r="S102" s="5" t="s">
        <v>34</v>
      </c>
      <c r="T102" s="7">
        <v>9365.22</v>
      </c>
      <c r="U102" s="5" t="s">
        <v>34</v>
      </c>
      <c r="W102" s="5">
        <f>IFERROR(__xludf.DUMMYFUNCTION("If(OR(X102=true, Y102=true), If(P102&gt;Date(2025, 6, 10), Datedif(Date(2025, 6, 10), P102, ""D""), DATEDIF(P102, Date(2025, 6, 10), ""D"") * -1))"),24.0)</f>
        <v>24</v>
      </c>
      <c r="X102" s="5" t="b">
        <f t="shared" si="1"/>
        <v>1</v>
      </c>
      <c r="Y102" s="5" t="b">
        <f t="shared" si="2"/>
        <v>0</v>
      </c>
      <c r="Z102" s="5" t="str">
        <f>IFERROR(__xludf.DUMMYFUNCTION("If(OR(X102=true, Y102=true), if(W102&lt;-60, ""greater 60"",if(W102&lt;-30, ""31-60"", If(W102&lt;0,""0-30"", ""Not mature""))))"),"Not mature")</f>
        <v>Not mature</v>
      </c>
    </row>
    <row r="103" ht="12.75" customHeight="1" outlineLevel="3">
      <c r="A103" s="12" t="s">
        <v>219</v>
      </c>
      <c r="B103" s="13"/>
      <c r="C103" s="12"/>
      <c r="D103" s="12"/>
      <c r="E103" s="13"/>
      <c r="F103" s="12"/>
      <c r="G103" s="12"/>
      <c r="H103" s="12"/>
      <c r="I103" s="12"/>
      <c r="J103" s="12"/>
      <c r="K103" s="12"/>
      <c r="L103" s="14"/>
      <c r="M103" s="13"/>
      <c r="N103" s="14"/>
      <c r="O103" s="14"/>
      <c r="P103" s="13"/>
      <c r="Q103" s="12"/>
      <c r="R103" s="15">
        <v>15608.7</v>
      </c>
      <c r="S103" s="12" t="s">
        <v>34</v>
      </c>
      <c r="T103" s="15">
        <v>15608.7</v>
      </c>
      <c r="U103" s="12" t="s">
        <v>34</v>
      </c>
      <c r="V103" s="12"/>
      <c r="W103" s="5" t="b">
        <f>IFERROR(__xludf.DUMMYFUNCTION("If(OR(X103=true, Y103=true), If(P103&gt;Date(2025, 6, 10), Datedif(Date(2025, 6, 10), P103, ""D""), DATEDIF(P103, Date(2025, 6, 10), ""D"") * -1))"),FALSE)</f>
        <v>0</v>
      </c>
      <c r="X103" s="5" t="b">
        <f t="shared" si="1"/>
        <v>0</v>
      </c>
      <c r="Y103" s="5" t="b">
        <f t="shared" si="2"/>
        <v>0</v>
      </c>
      <c r="Z103" s="5" t="b">
        <f>IFERROR(__xludf.DUMMYFUNCTION("If(OR(X103=true, Y103=true), if(W103&lt;-60, ""greater 60"",if(W103&lt;-30, ""31-60"", If(W103&lt;0,""0-30"", ""Not mature""))))"),FALSE)</f>
        <v>0</v>
      </c>
    </row>
    <row r="104" ht="12.75" customHeight="1" outlineLevel="4">
      <c r="A104" s="5" t="s">
        <v>220</v>
      </c>
      <c r="B104" s="6">
        <v>45303.0</v>
      </c>
      <c r="C104" s="5" t="s">
        <v>29</v>
      </c>
      <c r="D104" s="5" t="s">
        <v>221</v>
      </c>
      <c r="E104" s="6">
        <v>45303.0</v>
      </c>
      <c r="G104" s="5" t="s">
        <v>31</v>
      </c>
      <c r="H104" s="5" t="s">
        <v>49</v>
      </c>
      <c r="J104" s="5" t="s">
        <v>33</v>
      </c>
      <c r="L104" s="7">
        <v>-1312.22</v>
      </c>
      <c r="M104" s="6">
        <v>45303.0</v>
      </c>
      <c r="N104" s="8">
        <v>30.0</v>
      </c>
      <c r="O104" s="9">
        <v>0.0</v>
      </c>
      <c r="P104" s="6">
        <v>45303.0</v>
      </c>
      <c r="R104" s="7">
        <v>-1312.22</v>
      </c>
      <c r="S104" s="5" t="s">
        <v>34</v>
      </c>
      <c r="T104" s="7">
        <v>-1312.22</v>
      </c>
      <c r="U104" s="5" t="s">
        <v>34</v>
      </c>
      <c r="W104" s="5">
        <f>IFERROR(__xludf.DUMMYFUNCTION("If(OR(X104=true, Y104=true), If(P104&gt;Date(2025, 6, 10), Datedif(Date(2025, 6, 10), P104, ""D""), DATEDIF(P104, Date(2025, 6, 10), ""D"") * -1))"),-515.0)</f>
        <v>-515</v>
      </c>
      <c r="X104" s="5" t="b">
        <f t="shared" si="1"/>
        <v>0</v>
      </c>
      <c r="Y104" s="5" t="b">
        <f t="shared" si="2"/>
        <v>1</v>
      </c>
      <c r="Z104" s="5" t="str">
        <f>IFERROR(__xludf.DUMMYFUNCTION("If(OR(X104=true, Y104=true), if(W104&lt;-60, ""greater 60"",if(W104&lt;-30, ""31-60"", If(W104&lt;0,""0-30"", ""Not mature""))))"),"greater 60")</f>
        <v>greater 60</v>
      </c>
    </row>
    <row r="105" ht="12.75" customHeight="1" outlineLevel="3">
      <c r="A105" s="12" t="s">
        <v>222</v>
      </c>
      <c r="B105" s="13"/>
      <c r="C105" s="12"/>
      <c r="D105" s="12"/>
      <c r="E105" s="13"/>
      <c r="F105" s="12"/>
      <c r="G105" s="12"/>
      <c r="H105" s="12"/>
      <c r="I105" s="12"/>
      <c r="J105" s="12"/>
      <c r="K105" s="12"/>
      <c r="L105" s="14"/>
      <c r="M105" s="13"/>
      <c r="N105" s="14"/>
      <c r="O105" s="14"/>
      <c r="P105" s="13"/>
      <c r="Q105" s="12"/>
      <c r="R105" s="15">
        <v>-1312.22</v>
      </c>
      <c r="S105" s="12" t="s">
        <v>34</v>
      </c>
      <c r="T105" s="15">
        <v>-1312.22</v>
      </c>
      <c r="U105" s="12" t="s">
        <v>34</v>
      </c>
      <c r="V105" s="12"/>
      <c r="W105" s="5" t="b">
        <f>IFERROR(__xludf.DUMMYFUNCTION("If(OR(X105=true, Y105=true), If(P105&gt;Date(2025, 6, 10), Datedif(Date(2025, 6, 10), P105, ""D""), DATEDIF(P105, Date(2025, 6, 10), ""D"") * -1))"),FALSE)</f>
        <v>0</v>
      </c>
      <c r="X105" s="5" t="b">
        <f t="shared" si="1"/>
        <v>0</v>
      </c>
      <c r="Y105" s="5" t="b">
        <f t="shared" si="2"/>
        <v>0</v>
      </c>
      <c r="Z105" s="5" t="b">
        <f>IFERROR(__xludf.DUMMYFUNCTION("If(OR(X105=true, Y105=true), if(W105&lt;-60, ""greater 60"",if(W105&lt;-30, ""31-60"", If(W105&lt;0,""0-30"", ""Not mature""))))"),FALSE)</f>
        <v>0</v>
      </c>
    </row>
    <row r="106" ht="12.75" customHeight="1" outlineLevel="4">
      <c r="A106" s="5" t="s">
        <v>223</v>
      </c>
      <c r="B106" s="6">
        <v>45747.0</v>
      </c>
      <c r="C106" s="5" t="s">
        <v>29</v>
      </c>
      <c r="D106" s="5" t="s">
        <v>224</v>
      </c>
      <c r="E106" s="6">
        <v>45747.0</v>
      </c>
      <c r="G106" s="5" t="s">
        <v>31</v>
      </c>
      <c r="H106" s="5" t="s">
        <v>32</v>
      </c>
      <c r="J106" s="5" t="s">
        <v>33</v>
      </c>
      <c r="L106" s="7">
        <v>6106.1</v>
      </c>
      <c r="M106" s="6">
        <v>45747.0</v>
      </c>
      <c r="N106" s="8">
        <v>60.0</v>
      </c>
      <c r="O106" s="9">
        <v>0.0</v>
      </c>
      <c r="P106" s="6">
        <v>45807.0</v>
      </c>
      <c r="R106" s="7">
        <v>6106.1</v>
      </c>
      <c r="S106" s="5" t="s">
        <v>34</v>
      </c>
      <c r="T106" s="7">
        <v>6106.1</v>
      </c>
      <c r="U106" s="5" t="s">
        <v>34</v>
      </c>
      <c r="W106" s="5">
        <f>IFERROR(__xludf.DUMMYFUNCTION("If(OR(X106=true, Y106=true), If(P106&gt;Date(2025, 6, 10), Datedif(Date(2025, 6, 10), P106, ""D""), DATEDIF(P106, Date(2025, 6, 10), ""D"") * -1))"),-11.0)</f>
        <v>-11</v>
      </c>
      <c r="X106" s="5" t="b">
        <f t="shared" si="1"/>
        <v>1</v>
      </c>
      <c r="Y106" s="5" t="b">
        <f t="shared" si="2"/>
        <v>0</v>
      </c>
      <c r="Z106" s="5" t="str">
        <f>IFERROR(__xludf.DUMMYFUNCTION("If(OR(X106=true, Y106=true), if(W106&lt;-60, ""greater 60"",if(W106&lt;-30, ""31-60"", If(W106&lt;0,""0-30"", ""Not mature""))))"),"0-30")</f>
        <v>0-30</v>
      </c>
    </row>
    <row r="107" ht="12.75" customHeight="1" outlineLevel="4">
      <c r="A107" s="5" t="s">
        <v>225</v>
      </c>
      <c r="B107" s="6">
        <v>45770.0</v>
      </c>
      <c r="C107" s="5" t="s">
        <v>29</v>
      </c>
      <c r="D107" s="5" t="s">
        <v>226</v>
      </c>
      <c r="E107" s="6">
        <v>45770.0</v>
      </c>
      <c r="G107" s="5" t="s">
        <v>31</v>
      </c>
      <c r="H107" s="5" t="s">
        <v>32</v>
      </c>
      <c r="J107" s="5" t="s">
        <v>33</v>
      </c>
      <c r="L107" s="7">
        <v>5279.22</v>
      </c>
      <c r="M107" s="6">
        <v>45770.0</v>
      </c>
      <c r="N107" s="8">
        <v>60.0</v>
      </c>
      <c r="O107" s="9">
        <v>0.0</v>
      </c>
      <c r="P107" s="6">
        <v>45830.0</v>
      </c>
      <c r="R107" s="7">
        <v>5279.22</v>
      </c>
      <c r="S107" s="5" t="s">
        <v>34</v>
      </c>
      <c r="T107" s="7">
        <v>5279.22</v>
      </c>
      <c r="U107" s="5" t="s">
        <v>34</v>
      </c>
      <c r="W107" s="5">
        <f>IFERROR(__xludf.DUMMYFUNCTION("If(OR(X107=true, Y107=true), If(P107&gt;Date(2025, 6, 10), Datedif(Date(2025, 6, 10), P107, ""D""), DATEDIF(P107, Date(2025, 6, 10), ""D"") * -1))"),12.0)</f>
        <v>12</v>
      </c>
      <c r="X107" s="5" t="b">
        <f t="shared" si="1"/>
        <v>1</v>
      </c>
      <c r="Y107" s="5" t="b">
        <f t="shared" si="2"/>
        <v>0</v>
      </c>
      <c r="Z107" s="5" t="str">
        <f>IFERROR(__xludf.DUMMYFUNCTION("If(OR(X107=true, Y107=true), if(W107&lt;-60, ""greater 60"",if(W107&lt;-30, ""31-60"", If(W107&lt;0,""0-30"", ""Not mature""))))"),"Not mature")</f>
        <v>Not mature</v>
      </c>
    </row>
    <row r="108" ht="12.75" customHeight="1" outlineLevel="4">
      <c r="A108" s="5" t="s">
        <v>227</v>
      </c>
      <c r="B108" s="6">
        <v>45782.0</v>
      </c>
      <c r="C108" s="5" t="s">
        <v>29</v>
      </c>
      <c r="D108" s="5" t="s">
        <v>228</v>
      </c>
      <c r="E108" s="6">
        <v>45782.0</v>
      </c>
      <c r="G108" s="5" t="s">
        <v>31</v>
      </c>
      <c r="H108" s="5" t="s">
        <v>32</v>
      </c>
      <c r="J108" s="5" t="s">
        <v>33</v>
      </c>
      <c r="L108" s="7">
        <v>7358.4</v>
      </c>
      <c r="M108" s="6">
        <v>45782.0</v>
      </c>
      <c r="N108" s="8">
        <v>60.0</v>
      </c>
      <c r="O108" s="9">
        <v>0.0</v>
      </c>
      <c r="P108" s="6">
        <v>45842.0</v>
      </c>
      <c r="R108" s="7">
        <v>7358.4</v>
      </c>
      <c r="S108" s="5" t="s">
        <v>34</v>
      </c>
      <c r="T108" s="7">
        <v>7358.4</v>
      </c>
      <c r="U108" s="5" t="s">
        <v>34</v>
      </c>
      <c r="W108" s="5">
        <f>IFERROR(__xludf.DUMMYFUNCTION("If(OR(X108=true, Y108=true), If(P108&gt;Date(2025, 6, 10), Datedif(Date(2025, 6, 10), P108, ""D""), DATEDIF(P108, Date(2025, 6, 10), ""D"") * -1))"),24.0)</f>
        <v>24</v>
      </c>
      <c r="X108" s="5" t="b">
        <f t="shared" si="1"/>
        <v>1</v>
      </c>
      <c r="Y108" s="5" t="b">
        <f t="shared" si="2"/>
        <v>0</v>
      </c>
      <c r="Z108" s="5" t="str">
        <f>IFERROR(__xludf.DUMMYFUNCTION("If(OR(X108=true, Y108=true), if(W108&lt;-60, ""greater 60"",if(W108&lt;-30, ""31-60"", If(W108&lt;0,""0-30"", ""Not mature""))))"),"Not mature")</f>
        <v>Not mature</v>
      </c>
    </row>
    <row r="109" ht="12.75" customHeight="1" outlineLevel="4">
      <c r="A109" s="5" t="s">
        <v>229</v>
      </c>
      <c r="B109" s="6">
        <v>45789.0</v>
      </c>
      <c r="C109" s="5" t="s">
        <v>29</v>
      </c>
      <c r="D109" s="5" t="s">
        <v>230</v>
      </c>
      <c r="E109" s="6">
        <v>45789.0</v>
      </c>
      <c r="G109" s="5" t="s">
        <v>31</v>
      </c>
      <c r="H109" s="5" t="s">
        <v>32</v>
      </c>
      <c r="J109" s="5" t="s">
        <v>33</v>
      </c>
      <c r="L109" s="7">
        <v>6067.69</v>
      </c>
      <c r="M109" s="6">
        <v>45789.0</v>
      </c>
      <c r="N109" s="8">
        <v>60.0</v>
      </c>
      <c r="O109" s="9">
        <v>0.0</v>
      </c>
      <c r="P109" s="6">
        <v>45849.0</v>
      </c>
      <c r="R109" s="7">
        <v>6067.69</v>
      </c>
      <c r="S109" s="5" t="s">
        <v>34</v>
      </c>
      <c r="T109" s="7">
        <v>6067.69</v>
      </c>
      <c r="U109" s="5" t="s">
        <v>34</v>
      </c>
      <c r="W109" s="5">
        <f>IFERROR(__xludf.DUMMYFUNCTION("If(OR(X109=true, Y109=true), If(P109&gt;Date(2025, 6, 10), Datedif(Date(2025, 6, 10), P109, ""D""), DATEDIF(P109, Date(2025, 6, 10), ""D"") * -1))"),31.0)</f>
        <v>31</v>
      </c>
      <c r="X109" s="5" t="b">
        <f t="shared" si="1"/>
        <v>1</v>
      </c>
      <c r="Y109" s="5" t="b">
        <f t="shared" si="2"/>
        <v>0</v>
      </c>
      <c r="Z109" s="5" t="str">
        <f>IFERROR(__xludf.DUMMYFUNCTION("If(OR(X109=true, Y109=true), if(W109&lt;-60, ""greater 60"",if(W109&lt;-30, ""31-60"", If(W109&lt;0,""0-30"", ""Not mature""))))"),"Not mature")</f>
        <v>Not mature</v>
      </c>
    </row>
    <row r="110" ht="12.75" customHeight="1" outlineLevel="3">
      <c r="A110" s="12" t="s">
        <v>231</v>
      </c>
      <c r="B110" s="13"/>
      <c r="C110" s="12"/>
      <c r="D110" s="12"/>
      <c r="E110" s="13"/>
      <c r="F110" s="12"/>
      <c r="G110" s="12"/>
      <c r="H110" s="12"/>
      <c r="I110" s="12"/>
      <c r="J110" s="12"/>
      <c r="K110" s="12"/>
      <c r="L110" s="14"/>
      <c r="M110" s="13"/>
      <c r="N110" s="14"/>
      <c r="O110" s="14"/>
      <c r="P110" s="13"/>
      <c r="Q110" s="12"/>
      <c r="R110" s="15">
        <v>24811.41</v>
      </c>
      <c r="S110" s="12" t="s">
        <v>34</v>
      </c>
      <c r="T110" s="15">
        <v>24811.41</v>
      </c>
      <c r="U110" s="12" t="s">
        <v>34</v>
      </c>
      <c r="V110" s="12"/>
      <c r="W110" s="5" t="b">
        <f>IFERROR(__xludf.DUMMYFUNCTION("If(OR(X110=true, Y110=true), If(P110&gt;Date(2025, 6, 10), Datedif(Date(2025, 6, 10), P110, ""D""), DATEDIF(P110, Date(2025, 6, 10), ""D"") * -1))"),FALSE)</f>
        <v>0</v>
      </c>
      <c r="X110" s="5" t="b">
        <f t="shared" si="1"/>
        <v>0</v>
      </c>
      <c r="Y110" s="5" t="b">
        <f t="shared" si="2"/>
        <v>0</v>
      </c>
      <c r="Z110" s="5" t="b">
        <f>IFERROR(__xludf.DUMMYFUNCTION("If(OR(X110=true, Y110=true), if(W110&lt;-60, ""greater 60"",if(W110&lt;-30, ""31-60"", If(W110&lt;0,""0-30"", ""Not mature""))))"),FALSE)</f>
        <v>0</v>
      </c>
    </row>
    <row r="111" ht="12.75" customHeight="1" outlineLevel="4">
      <c r="A111" s="5" t="s">
        <v>232</v>
      </c>
      <c r="B111" s="6">
        <v>45796.0</v>
      </c>
      <c r="C111" s="5" t="s">
        <v>29</v>
      </c>
      <c r="D111" s="5" t="s">
        <v>233</v>
      </c>
      <c r="E111" s="6">
        <v>45796.0</v>
      </c>
      <c r="G111" s="5" t="s">
        <v>31</v>
      </c>
      <c r="H111" s="5" t="s">
        <v>32</v>
      </c>
      <c r="J111" s="5" t="s">
        <v>33</v>
      </c>
      <c r="L111" s="7">
        <v>5170.79</v>
      </c>
      <c r="M111" s="6">
        <v>45796.0</v>
      </c>
      <c r="N111" s="8">
        <v>14.0</v>
      </c>
      <c r="O111" s="9">
        <v>3.0</v>
      </c>
      <c r="P111" s="6">
        <v>45826.0</v>
      </c>
      <c r="R111" s="7">
        <v>5170.79</v>
      </c>
      <c r="S111" s="5" t="s">
        <v>34</v>
      </c>
      <c r="T111" s="7">
        <v>5170.79</v>
      </c>
      <c r="U111" s="5" t="s">
        <v>34</v>
      </c>
      <c r="W111" s="5">
        <f>IFERROR(__xludf.DUMMYFUNCTION("If(OR(X111=true, Y111=true), If(P111&gt;Date(2025, 6, 10), Datedif(Date(2025, 6, 10), P111, ""D""), DATEDIF(P111, Date(2025, 6, 10), ""D"") * -1))"),8.0)</f>
        <v>8</v>
      </c>
      <c r="X111" s="5" t="b">
        <f t="shared" si="1"/>
        <v>1</v>
      </c>
      <c r="Y111" s="5" t="b">
        <f t="shared" si="2"/>
        <v>0</v>
      </c>
      <c r="Z111" s="5" t="str">
        <f>IFERROR(__xludf.DUMMYFUNCTION("If(OR(X111=true, Y111=true), if(W111&lt;-60, ""greater 60"",if(W111&lt;-30, ""31-60"", If(W111&lt;0,""0-30"", ""Not mature""))))"),"Not mature")</f>
        <v>Not mature</v>
      </c>
    </row>
    <row r="112" ht="12.75" customHeight="1" outlineLevel="3">
      <c r="A112" s="12" t="s">
        <v>234</v>
      </c>
      <c r="B112" s="13"/>
      <c r="C112" s="12"/>
      <c r="D112" s="12"/>
      <c r="E112" s="13"/>
      <c r="F112" s="12"/>
      <c r="G112" s="12"/>
      <c r="H112" s="12"/>
      <c r="I112" s="12"/>
      <c r="J112" s="12"/>
      <c r="K112" s="12"/>
      <c r="L112" s="14"/>
      <c r="M112" s="13"/>
      <c r="N112" s="14"/>
      <c r="O112" s="14"/>
      <c r="P112" s="13"/>
      <c r="Q112" s="12"/>
      <c r="R112" s="15">
        <v>5170.79</v>
      </c>
      <c r="S112" s="12" t="s">
        <v>34</v>
      </c>
      <c r="T112" s="15">
        <v>5170.79</v>
      </c>
      <c r="U112" s="12" t="s">
        <v>34</v>
      </c>
      <c r="V112" s="12"/>
      <c r="W112" s="5" t="b">
        <f>IFERROR(__xludf.DUMMYFUNCTION("If(OR(X112=true, Y112=true), If(P112&gt;Date(2025, 6, 10), Datedif(Date(2025, 6, 10), P112, ""D""), DATEDIF(P112, Date(2025, 6, 10), ""D"") * -1))"),FALSE)</f>
        <v>0</v>
      </c>
      <c r="X112" s="5" t="b">
        <f t="shared" si="1"/>
        <v>0</v>
      </c>
      <c r="Y112" s="5" t="b">
        <f t="shared" si="2"/>
        <v>0</v>
      </c>
      <c r="Z112" s="5" t="b">
        <f>IFERROR(__xludf.DUMMYFUNCTION("If(OR(X112=true, Y112=true), if(W112&lt;-60, ""greater 60"",if(W112&lt;-30, ""31-60"", If(W112&lt;0,""0-30"", ""Not mature""))))"),FALSE)</f>
        <v>0</v>
      </c>
    </row>
    <row r="113" ht="12.75" customHeight="1" outlineLevel="4">
      <c r="A113" s="5" t="s">
        <v>235</v>
      </c>
      <c r="B113" s="6">
        <v>45755.0</v>
      </c>
      <c r="C113" s="5" t="s">
        <v>29</v>
      </c>
      <c r="D113" s="5" t="s">
        <v>236</v>
      </c>
      <c r="E113" s="6">
        <v>45755.0</v>
      </c>
      <c r="G113" s="5" t="s">
        <v>31</v>
      </c>
      <c r="H113" s="5" t="s">
        <v>32</v>
      </c>
      <c r="J113" s="5" t="s">
        <v>33</v>
      </c>
      <c r="L113" s="7">
        <v>3210.88</v>
      </c>
      <c r="M113" s="6">
        <v>45755.0</v>
      </c>
      <c r="N113" s="8">
        <v>14.0</v>
      </c>
      <c r="O113" s="9">
        <v>3.0</v>
      </c>
      <c r="P113" s="6">
        <v>45815.0</v>
      </c>
      <c r="R113" s="7">
        <v>3210.88</v>
      </c>
      <c r="S113" s="5" t="s">
        <v>34</v>
      </c>
      <c r="T113" s="7">
        <v>3210.88</v>
      </c>
      <c r="U113" s="5" t="s">
        <v>34</v>
      </c>
      <c r="W113" s="5">
        <f>IFERROR(__xludf.DUMMYFUNCTION("If(OR(X113=true, Y113=true), If(P113&gt;Date(2025, 6, 10), Datedif(Date(2025, 6, 10), P113, ""D""), DATEDIF(P113, Date(2025, 6, 10), ""D"") * -1))"),-3.0)</f>
        <v>-3</v>
      </c>
      <c r="X113" s="5" t="b">
        <f t="shared" si="1"/>
        <v>1</v>
      </c>
      <c r="Y113" s="5" t="b">
        <f t="shared" si="2"/>
        <v>0</v>
      </c>
      <c r="Z113" s="5" t="str">
        <f>IFERROR(__xludf.DUMMYFUNCTION("If(OR(X113=true, Y113=true), if(W113&lt;-60, ""greater 60"",if(W113&lt;-30, ""31-60"", If(W113&lt;0,""0-30"", ""Not mature""))))"),"0-30")</f>
        <v>0-30</v>
      </c>
    </row>
    <row r="114" ht="12.75" customHeight="1" outlineLevel="3">
      <c r="A114" s="12" t="s">
        <v>237</v>
      </c>
      <c r="B114" s="13"/>
      <c r="C114" s="12"/>
      <c r="D114" s="12"/>
      <c r="E114" s="13"/>
      <c r="F114" s="12"/>
      <c r="G114" s="12"/>
      <c r="H114" s="12"/>
      <c r="I114" s="12"/>
      <c r="J114" s="12"/>
      <c r="K114" s="12"/>
      <c r="L114" s="14"/>
      <c r="M114" s="13"/>
      <c r="N114" s="14"/>
      <c r="O114" s="14"/>
      <c r="P114" s="13"/>
      <c r="Q114" s="12"/>
      <c r="R114" s="15">
        <v>3210.88</v>
      </c>
      <c r="S114" s="12" t="s">
        <v>34</v>
      </c>
      <c r="T114" s="15">
        <v>3210.88</v>
      </c>
      <c r="U114" s="12" t="s">
        <v>34</v>
      </c>
      <c r="V114" s="12"/>
      <c r="W114" s="5" t="b">
        <f>IFERROR(__xludf.DUMMYFUNCTION("If(OR(X114=true, Y114=true), If(P114&gt;Date(2025, 6, 10), Datedif(Date(2025, 6, 10), P114, ""D""), DATEDIF(P114, Date(2025, 6, 10), ""D"") * -1))"),FALSE)</f>
        <v>0</v>
      </c>
      <c r="X114" s="5" t="b">
        <f t="shared" si="1"/>
        <v>0</v>
      </c>
      <c r="Y114" s="5" t="b">
        <f t="shared" si="2"/>
        <v>0</v>
      </c>
      <c r="Z114" s="5" t="b">
        <f>IFERROR(__xludf.DUMMYFUNCTION("If(OR(X114=true, Y114=true), if(W114&lt;-60, ""greater 60"",if(W114&lt;-30, ""31-60"", If(W114&lt;0,""0-30"", ""Not mature""))))"),FALSE)</f>
        <v>0</v>
      </c>
    </row>
    <row r="115" ht="12.75" customHeight="1" outlineLevel="4">
      <c r="A115" s="5" t="s">
        <v>238</v>
      </c>
      <c r="B115" s="6">
        <v>45488.0</v>
      </c>
      <c r="C115" s="5" t="s">
        <v>58</v>
      </c>
      <c r="D115" s="5" t="s">
        <v>239</v>
      </c>
      <c r="E115" s="6">
        <v>45476.0</v>
      </c>
      <c r="G115" s="5" t="s">
        <v>31</v>
      </c>
      <c r="H115" s="5" t="s">
        <v>49</v>
      </c>
      <c r="J115" s="5" t="s">
        <v>33</v>
      </c>
      <c r="L115" s="7">
        <v>-3029.4</v>
      </c>
      <c r="M115" s="6">
        <v>45476.0</v>
      </c>
      <c r="N115" s="8">
        <v>0.0</v>
      </c>
      <c r="O115" s="9">
        <v>0.0</v>
      </c>
      <c r="P115" s="6">
        <v>45476.0</v>
      </c>
      <c r="R115" s="7">
        <v>-3029.4</v>
      </c>
      <c r="S115" s="5" t="s">
        <v>34</v>
      </c>
      <c r="T115" s="7">
        <v>-3029.4</v>
      </c>
      <c r="U115" s="5" t="s">
        <v>34</v>
      </c>
      <c r="W115" s="5">
        <f>IFERROR(__xludf.DUMMYFUNCTION("If(OR(X115=true, Y115=true), If(P115&gt;Date(2025, 6, 10), Datedif(Date(2025, 6, 10), P115, ""D""), DATEDIF(P115, Date(2025, 6, 10), ""D"") * -1))"),-342.0)</f>
        <v>-342</v>
      </c>
      <c r="X115" s="5" t="b">
        <f t="shared" si="1"/>
        <v>0</v>
      </c>
      <c r="Y115" s="5" t="b">
        <f t="shared" si="2"/>
        <v>1</v>
      </c>
      <c r="Z115" s="5" t="str">
        <f>IFERROR(__xludf.DUMMYFUNCTION("If(OR(X115=true, Y115=true), if(W115&lt;-60, ""greater 60"",if(W115&lt;-30, ""31-60"", If(W115&lt;0,""0-30"", ""Not mature""))))"),"greater 60")</f>
        <v>greater 60</v>
      </c>
    </row>
    <row r="116" ht="12.75" customHeight="1" outlineLevel="4">
      <c r="A116" s="5" t="s">
        <v>238</v>
      </c>
      <c r="B116" s="6">
        <v>45488.0</v>
      </c>
      <c r="C116" s="5" t="s">
        <v>58</v>
      </c>
      <c r="D116" s="5" t="s">
        <v>240</v>
      </c>
      <c r="E116" s="6">
        <v>45476.0</v>
      </c>
      <c r="G116" s="5" t="s">
        <v>31</v>
      </c>
      <c r="H116" s="5" t="s">
        <v>49</v>
      </c>
      <c r="J116" s="5" t="s">
        <v>33</v>
      </c>
      <c r="L116" s="7">
        <v>-1345.41</v>
      </c>
      <c r="M116" s="6">
        <v>45476.0</v>
      </c>
      <c r="N116" s="8">
        <v>0.0</v>
      </c>
      <c r="O116" s="9">
        <v>0.0</v>
      </c>
      <c r="P116" s="6">
        <v>45476.0</v>
      </c>
      <c r="R116" s="7">
        <v>-1345.41</v>
      </c>
      <c r="S116" s="5" t="s">
        <v>34</v>
      </c>
      <c r="T116" s="7">
        <v>-1345.41</v>
      </c>
      <c r="U116" s="5" t="s">
        <v>34</v>
      </c>
      <c r="W116" s="5">
        <f>IFERROR(__xludf.DUMMYFUNCTION("If(OR(X116=true, Y116=true), If(P116&gt;Date(2025, 6, 10), Datedif(Date(2025, 6, 10), P116, ""D""), DATEDIF(P116, Date(2025, 6, 10), ""D"") * -1))"),-342.0)</f>
        <v>-342</v>
      </c>
      <c r="X116" s="5" t="b">
        <f t="shared" si="1"/>
        <v>0</v>
      </c>
      <c r="Y116" s="5" t="b">
        <f t="shared" si="2"/>
        <v>1</v>
      </c>
      <c r="Z116" s="5" t="str">
        <f>IFERROR(__xludf.DUMMYFUNCTION("If(OR(X116=true, Y116=true), if(W116&lt;-60, ""greater 60"",if(W116&lt;-30, ""31-60"", If(W116&lt;0,""0-30"", ""Not mature""))))"),"greater 60")</f>
        <v>greater 60</v>
      </c>
    </row>
    <row r="117" ht="12.75" customHeight="1" outlineLevel="3">
      <c r="A117" s="12" t="s">
        <v>241</v>
      </c>
      <c r="B117" s="13"/>
      <c r="C117" s="12"/>
      <c r="D117" s="12"/>
      <c r="E117" s="13"/>
      <c r="F117" s="12"/>
      <c r="G117" s="12"/>
      <c r="H117" s="12"/>
      <c r="I117" s="12"/>
      <c r="J117" s="12"/>
      <c r="K117" s="12"/>
      <c r="L117" s="14"/>
      <c r="M117" s="13"/>
      <c r="N117" s="14"/>
      <c r="O117" s="14"/>
      <c r="P117" s="13"/>
      <c r="Q117" s="12"/>
      <c r="R117" s="15">
        <v>-4374.81</v>
      </c>
      <c r="S117" s="12" t="s">
        <v>34</v>
      </c>
      <c r="T117" s="15">
        <v>-4374.81</v>
      </c>
      <c r="U117" s="12" t="s">
        <v>34</v>
      </c>
      <c r="V117" s="12"/>
      <c r="W117" s="5" t="b">
        <f>IFERROR(__xludf.DUMMYFUNCTION("If(OR(X117=true, Y117=true), If(P117&gt;Date(2025, 6, 10), Datedif(Date(2025, 6, 10), P117, ""D""), DATEDIF(P117, Date(2025, 6, 10), ""D"") * -1))"),FALSE)</f>
        <v>0</v>
      </c>
      <c r="X117" s="5" t="b">
        <f t="shared" si="1"/>
        <v>0</v>
      </c>
      <c r="Y117" s="5" t="b">
        <f t="shared" si="2"/>
        <v>0</v>
      </c>
      <c r="Z117" s="5" t="b">
        <f>IFERROR(__xludf.DUMMYFUNCTION("If(OR(X117=true, Y117=true), if(W117&lt;-60, ""greater 60"",if(W117&lt;-30, ""31-60"", If(W117&lt;0,""0-30"", ""Not mature""))))"),FALSE)</f>
        <v>0</v>
      </c>
    </row>
    <row r="118" ht="12.75" customHeight="1" outlineLevel="4">
      <c r="A118" s="5" t="s">
        <v>242</v>
      </c>
      <c r="B118" s="6">
        <v>45763.0</v>
      </c>
      <c r="C118" s="5" t="s">
        <v>29</v>
      </c>
      <c r="D118" s="5" t="s">
        <v>243</v>
      </c>
      <c r="E118" s="6">
        <v>45763.0</v>
      </c>
      <c r="G118" s="5" t="s">
        <v>31</v>
      </c>
      <c r="H118" s="5" t="s">
        <v>32</v>
      </c>
      <c r="J118" s="5" t="s">
        <v>33</v>
      </c>
      <c r="L118" s="7">
        <v>30684.85</v>
      </c>
      <c r="M118" s="6">
        <v>45763.0</v>
      </c>
      <c r="N118" s="8">
        <v>60.0</v>
      </c>
      <c r="O118" s="9">
        <v>0.0</v>
      </c>
      <c r="P118" s="6">
        <v>45823.0</v>
      </c>
      <c r="R118" s="7">
        <v>30684.85</v>
      </c>
      <c r="S118" s="5" t="s">
        <v>244</v>
      </c>
      <c r="T118" s="7">
        <v>28360.17</v>
      </c>
      <c r="U118" s="5" t="s">
        <v>34</v>
      </c>
      <c r="W118" s="5">
        <f>IFERROR(__xludf.DUMMYFUNCTION("If(OR(X118=true, Y118=true), If(P118&gt;Date(2025, 6, 10), Datedif(Date(2025, 6, 10), P118, ""D""), DATEDIF(P118, Date(2025, 6, 10), ""D"") * -1))"),5.0)</f>
        <v>5</v>
      </c>
      <c r="X118" s="5" t="b">
        <f t="shared" si="1"/>
        <v>1</v>
      </c>
      <c r="Y118" s="5" t="b">
        <f t="shared" si="2"/>
        <v>0</v>
      </c>
      <c r="Z118" s="5" t="str">
        <f>IFERROR(__xludf.DUMMYFUNCTION("If(OR(X118=true, Y118=true), if(W118&lt;-60, ""greater 60"",if(W118&lt;-30, ""31-60"", If(W118&lt;0,""0-30"", ""Not mature""))))"),"Not mature")</f>
        <v>Not mature</v>
      </c>
    </row>
    <row r="119" ht="12.75" customHeight="1" outlineLevel="3">
      <c r="A119" s="12" t="s">
        <v>245</v>
      </c>
      <c r="B119" s="13"/>
      <c r="C119" s="12"/>
      <c r="D119" s="12"/>
      <c r="E119" s="13"/>
      <c r="F119" s="12"/>
      <c r="G119" s="12"/>
      <c r="H119" s="12"/>
      <c r="I119" s="12"/>
      <c r="J119" s="12"/>
      <c r="K119" s="12"/>
      <c r="L119" s="14"/>
      <c r="M119" s="13"/>
      <c r="N119" s="14"/>
      <c r="O119" s="14"/>
      <c r="P119" s="13"/>
      <c r="Q119" s="12"/>
      <c r="R119" s="15">
        <v>30684.85</v>
      </c>
      <c r="S119" s="12" t="s">
        <v>244</v>
      </c>
      <c r="T119" s="15">
        <v>28360.17</v>
      </c>
      <c r="U119" s="12" t="s">
        <v>34</v>
      </c>
      <c r="V119" s="12"/>
      <c r="W119" s="5" t="b">
        <f>IFERROR(__xludf.DUMMYFUNCTION("If(OR(X119=true, Y119=true), If(P119&gt;Date(2025, 6, 10), Datedif(Date(2025, 6, 10), P119, ""D""), DATEDIF(P119, Date(2025, 6, 10), ""D"") * -1))"),FALSE)</f>
        <v>0</v>
      </c>
      <c r="X119" s="5" t="b">
        <f t="shared" si="1"/>
        <v>0</v>
      </c>
      <c r="Y119" s="5" t="b">
        <f t="shared" si="2"/>
        <v>0</v>
      </c>
      <c r="Z119" s="5" t="b">
        <f>IFERROR(__xludf.DUMMYFUNCTION("If(OR(X119=true, Y119=true), if(W119&lt;-60, ""greater 60"",if(W119&lt;-30, ""31-60"", If(W119&lt;0,""0-30"", ""Not mature""))))"),FALSE)</f>
        <v>0</v>
      </c>
    </row>
    <row r="120" ht="12.75" customHeight="1" outlineLevel="4">
      <c r="A120" s="5" t="s">
        <v>246</v>
      </c>
      <c r="B120" s="6">
        <v>45742.0</v>
      </c>
      <c r="C120" s="5" t="s">
        <v>147</v>
      </c>
      <c r="D120" s="5" t="s">
        <v>247</v>
      </c>
      <c r="E120" s="6">
        <v>45742.0</v>
      </c>
      <c r="G120" s="5" t="s">
        <v>31</v>
      </c>
      <c r="H120" s="5" t="s">
        <v>149</v>
      </c>
      <c r="J120" s="5" t="s">
        <v>114</v>
      </c>
      <c r="L120" s="7">
        <v>0.0</v>
      </c>
      <c r="M120" s="6">
        <v>45742.0</v>
      </c>
      <c r="N120" s="8">
        <v>0.0</v>
      </c>
      <c r="O120" s="9">
        <v>0.0</v>
      </c>
      <c r="P120" s="6">
        <v>45742.0</v>
      </c>
      <c r="R120" s="7">
        <v>-764.54</v>
      </c>
      <c r="S120" s="5" t="s">
        <v>34</v>
      </c>
      <c r="T120" s="7">
        <v>-764.54</v>
      </c>
      <c r="U120" s="5" t="s">
        <v>34</v>
      </c>
      <c r="W120" s="5">
        <f>IFERROR(__xludf.DUMMYFUNCTION("If(OR(X120=true, Y120=true), If(P120&gt;Date(2025, 6, 10), Datedif(Date(2025, 6, 10), P120, ""D""), DATEDIF(P120, Date(2025, 6, 10), ""D"") * -1))"),-76.0)</f>
        <v>-76</v>
      </c>
      <c r="X120" s="5" t="b">
        <f t="shared" si="1"/>
        <v>0</v>
      </c>
      <c r="Y120" s="5" t="b">
        <f t="shared" si="2"/>
        <v>1</v>
      </c>
      <c r="Z120" s="5" t="str">
        <f>IFERROR(__xludf.DUMMYFUNCTION("If(OR(X120=true, Y120=true), if(W120&lt;-60, ""greater 60"",if(W120&lt;-30, ""31-60"", If(W120&lt;0,""0-30"", ""Not mature""))))"),"greater 60")</f>
        <v>greater 60</v>
      </c>
    </row>
    <row r="121" ht="12.75" customHeight="1" outlineLevel="4">
      <c r="A121" s="5" t="s">
        <v>248</v>
      </c>
      <c r="B121" s="6">
        <v>45742.0</v>
      </c>
      <c r="C121" s="5" t="s">
        <v>147</v>
      </c>
      <c r="D121" s="5" t="s">
        <v>249</v>
      </c>
      <c r="E121" s="6">
        <v>45742.0</v>
      </c>
      <c r="G121" s="5" t="s">
        <v>31</v>
      </c>
      <c r="H121" s="5" t="s">
        <v>250</v>
      </c>
      <c r="I121" s="5" t="s">
        <v>251</v>
      </c>
      <c r="J121" s="5" t="s">
        <v>114</v>
      </c>
      <c r="L121" s="7">
        <v>4097.32</v>
      </c>
      <c r="M121" s="6">
        <v>45742.0</v>
      </c>
      <c r="N121" s="8">
        <v>0.0</v>
      </c>
      <c r="O121" s="9">
        <v>0.0</v>
      </c>
      <c r="P121" s="6">
        <v>45742.0</v>
      </c>
      <c r="R121" s="7">
        <v>4097.32</v>
      </c>
      <c r="S121" s="5" t="s">
        <v>34</v>
      </c>
      <c r="T121" s="7">
        <v>4097.32</v>
      </c>
      <c r="U121" s="5" t="s">
        <v>34</v>
      </c>
      <c r="W121" s="5">
        <f>IFERROR(__xludf.DUMMYFUNCTION("If(OR(X121=true, Y121=true), If(P121&gt;Date(2025, 6, 10), Datedif(Date(2025, 6, 10), P121, ""D""), DATEDIF(P121, Date(2025, 6, 10), ""D"") * -1))"),-76.0)</f>
        <v>-76</v>
      </c>
      <c r="X121" s="5" t="b">
        <f t="shared" si="1"/>
        <v>1</v>
      </c>
      <c r="Y121" s="5" t="b">
        <f t="shared" si="2"/>
        <v>0</v>
      </c>
      <c r="Z121" s="5" t="str">
        <f>IFERROR(__xludf.DUMMYFUNCTION("If(OR(X121=true, Y121=true), if(W121&lt;-60, ""greater 60"",if(W121&lt;-30, ""31-60"", If(W121&lt;0,""0-30"", ""Not mature""))))"),"greater 60")</f>
        <v>greater 60</v>
      </c>
    </row>
    <row r="122" ht="12.75" customHeight="1" outlineLevel="4">
      <c r="A122" s="5" t="s">
        <v>252</v>
      </c>
      <c r="B122" s="6">
        <v>45742.0</v>
      </c>
      <c r="C122" s="5" t="s">
        <v>147</v>
      </c>
      <c r="D122" s="5" t="s">
        <v>253</v>
      </c>
      <c r="E122" s="6">
        <v>45742.0</v>
      </c>
      <c r="G122" s="5" t="s">
        <v>31</v>
      </c>
      <c r="H122" s="5" t="s">
        <v>250</v>
      </c>
      <c r="I122" s="5" t="s">
        <v>251</v>
      </c>
      <c r="J122" s="5" t="s">
        <v>114</v>
      </c>
      <c r="L122" s="7">
        <v>5930.65</v>
      </c>
      <c r="M122" s="6">
        <v>45742.0</v>
      </c>
      <c r="N122" s="8">
        <v>0.0</v>
      </c>
      <c r="O122" s="9">
        <v>0.0</v>
      </c>
      <c r="P122" s="6">
        <v>45742.0</v>
      </c>
      <c r="R122" s="7">
        <v>5930.65</v>
      </c>
      <c r="S122" s="5" t="s">
        <v>34</v>
      </c>
      <c r="T122" s="7">
        <v>5930.65</v>
      </c>
      <c r="U122" s="5" t="s">
        <v>34</v>
      </c>
      <c r="W122" s="5">
        <f>IFERROR(__xludf.DUMMYFUNCTION("If(OR(X122=true, Y122=true), If(P122&gt;Date(2025, 6, 10), Datedif(Date(2025, 6, 10), P122, ""D""), DATEDIF(P122, Date(2025, 6, 10), ""D"") * -1))"),-76.0)</f>
        <v>-76</v>
      </c>
      <c r="X122" s="5" t="b">
        <f t="shared" si="1"/>
        <v>1</v>
      </c>
      <c r="Y122" s="5" t="b">
        <f t="shared" si="2"/>
        <v>0</v>
      </c>
      <c r="Z122" s="5" t="str">
        <f>IFERROR(__xludf.DUMMYFUNCTION("If(OR(X122=true, Y122=true), if(W122&lt;-60, ""greater 60"",if(W122&lt;-30, ""31-60"", If(W122&lt;0,""0-30"", ""Not mature""))))"),"greater 60")</f>
        <v>greater 60</v>
      </c>
    </row>
    <row r="123" ht="12.75" customHeight="1" outlineLevel="4">
      <c r="A123" s="5" t="s">
        <v>254</v>
      </c>
      <c r="B123" s="6">
        <v>45747.0</v>
      </c>
      <c r="C123" s="5" t="s">
        <v>112</v>
      </c>
      <c r="D123" s="5" t="s">
        <v>255</v>
      </c>
      <c r="E123" s="6">
        <v>45747.0</v>
      </c>
      <c r="G123" s="5" t="s">
        <v>114</v>
      </c>
      <c r="H123" s="5" t="s">
        <v>115</v>
      </c>
      <c r="J123" s="5" t="s">
        <v>114</v>
      </c>
      <c r="L123" s="7">
        <v>0.0</v>
      </c>
      <c r="M123" s="6">
        <v>45747.0</v>
      </c>
      <c r="N123" s="8">
        <v>0.0</v>
      </c>
      <c r="O123" s="9">
        <v>0.0</v>
      </c>
      <c r="P123" s="6">
        <v>45747.0</v>
      </c>
      <c r="R123" s="7">
        <v>-4000.0</v>
      </c>
      <c r="S123" s="5" t="s">
        <v>34</v>
      </c>
      <c r="T123" s="7">
        <v>-4000.0</v>
      </c>
      <c r="U123" s="5" t="s">
        <v>34</v>
      </c>
      <c r="W123" s="5">
        <f>IFERROR(__xludf.DUMMYFUNCTION("If(OR(X123=true, Y123=true), If(P123&gt;Date(2025, 6, 10), Datedif(Date(2025, 6, 10), P123, ""D""), DATEDIF(P123, Date(2025, 6, 10), ""D"") * -1))"),-71.0)</f>
        <v>-71</v>
      </c>
      <c r="X123" s="5" t="b">
        <f t="shared" si="1"/>
        <v>0</v>
      </c>
      <c r="Y123" s="5" t="b">
        <f t="shared" si="2"/>
        <v>1</v>
      </c>
      <c r="Z123" s="5" t="str">
        <f>IFERROR(__xludf.DUMMYFUNCTION("If(OR(X123=true, Y123=true), if(W123&lt;-60, ""greater 60"",if(W123&lt;-30, ""31-60"", If(W123&lt;0,""0-30"", ""Not mature""))))"),"greater 60")</f>
        <v>greater 60</v>
      </c>
    </row>
    <row r="124" ht="12.75" customHeight="1" outlineLevel="3">
      <c r="A124" s="12" t="s">
        <v>256</v>
      </c>
      <c r="B124" s="13"/>
      <c r="C124" s="12"/>
      <c r="D124" s="12"/>
      <c r="E124" s="13"/>
      <c r="F124" s="12"/>
      <c r="G124" s="12"/>
      <c r="H124" s="12"/>
      <c r="I124" s="12"/>
      <c r="J124" s="12"/>
      <c r="K124" s="12"/>
      <c r="L124" s="14"/>
      <c r="M124" s="13"/>
      <c r="N124" s="14"/>
      <c r="O124" s="14"/>
      <c r="P124" s="13"/>
      <c r="Q124" s="12"/>
      <c r="R124" s="15">
        <v>5263.43</v>
      </c>
      <c r="S124" s="12" t="s">
        <v>34</v>
      </c>
      <c r="T124" s="15">
        <v>5263.43</v>
      </c>
      <c r="U124" s="12" t="s">
        <v>34</v>
      </c>
      <c r="V124" s="12"/>
      <c r="W124" s="5" t="b">
        <f>IFERROR(__xludf.DUMMYFUNCTION("If(OR(X124=true, Y124=true), If(P124&gt;Date(2025, 6, 10), Datedif(Date(2025, 6, 10), P124, ""D""), DATEDIF(P124, Date(2025, 6, 10), ""D"") * -1))"),FALSE)</f>
        <v>0</v>
      </c>
      <c r="X124" s="5" t="b">
        <f t="shared" si="1"/>
        <v>0</v>
      </c>
      <c r="Y124" s="5" t="b">
        <f t="shared" si="2"/>
        <v>0</v>
      </c>
      <c r="Z124" s="5" t="b">
        <f>IFERROR(__xludf.DUMMYFUNCTION("If(OR(X124=true, Y124=true), if(W124&lt;-60, ""greater 60"",if(W124&lt;-30, ""31-60"", If(W124&lt;0,""0-30"", ""Not mature""))))"),FALSE)</f>
        <v>0</v>
      </c>
    </row>
    <row r="125" ht="12.75" customHeight="1" outlineLevel="4">
      <c r="A125" s="5" t="s">
        <v>257</v>
      </c>
      <c r="B125" s="6">
        <v>45145.0</v>
      </c>
      <c r="C125" s="5" t="s">
        <v>29</v>
      </c>
      <c r="D125" s="5" t="s">
        <v>258</v>
      </c>
      <c r="E125" s="6">
        <v>45145.0</v>
      </c>
      <c r="G125" s="5" t="s">
        <v>31</v>
      </c>
      <c r="H125" s="5" t="s">
        <v>49</v>
      </c>
      <c r="J125" s="5" t="s">
        <v>33</v>
      </c>
      <c r="L125" s="7">
        <v>-2224.35</v>
      </c>
      <c r="M125" s="6">
        <v>45169.0</v>
      </c>
      <c r="N125" s="8">
        <v>61.0</v>
      </c>
      <c r="O125" s="9">
        <v>0.0</v>
      </c>
      <c r="P125" s="6">
        <v>45169.0</v>
      </c>
      <c r="R125" s="7">
        <v>-2224.35</v>
      </c>
      <c r="S125" s="5" t="s">
        <v>34</v>
      </c>
      <c r="T125" s="7">
        <v>-2224.35</v>
      </c>
      <c r="U125" s="5" t="s">
        <v>34</v>
      </c>
      <c r="W125" s="5">
        <f>IFERROR(__xludf.DUMMYFUNCTION("If(OR(X125=true, Y125=true), If(P125&gt;Date(2025, 6, 10), Datedif(Date(2025, 6, 10), P125, ""D""), DATEDIF(P125, Date(2025, 6, 10), ""D"") * -1))"),-649.0)</f>
        <v>-649</v>
      </c>
      <c r="X125" s="5" t="b">
        <f t="shared" si="1"/>
        <v>0</v>
      </c>
      <c r="Y125" s="5" t="b">
        <f t="shared" si="2"/>
        <v>1</v>
      </c>
      <c r="Z125" s="5" t="str">
        <f>IFERROR(__xludf.DUMMYFUNCTION("If(OR(X125=true, Y125=true), if(W125&lt;-60, ""greater 60"",if(W125&lt;-30, ""31-60"", If(W125&lt;0,""0-30"", ""Not mature""))))"),"greater 60")</f>
        <v>greater 60</v>
      </c>
    </row>
    <row r="126" ht="12.75" customHeight="1" outlineLevel="3">
      <c r="A126" s="12" t="s">
        <v>259</v>
      </c>
      <c r="B126" s="13"/>
      <c r="C126" s="12"/>
      <c r="D126" s="12"/>
      <c r="E126" s="13"/>
      <c r="F126" s="12"/>
      <c r="G126" s="12"/>
      <c r="H126" s="12"/>
      <c r="I126" s="12"/>
      <c r="J126" s="12"/>
      <c r="K126" s="12"/>
      <c r="L126" s="14"/>
      <c r="M126" s="13"/>
      <c r="N126" s="14"/>
      <c r="O126" s="14"/>
      <c r="P126" s="13"/>
      <c r="Q126" s="12"/>
      <c r="R126" s="15">
        <v>-2224.35</v>
      </c>
      <c r="S126" s="12" t="s">
        <v>34</v>
      </c>
      <c r="T126" s="15">
        <v>-2224.35</v>
      </c>
      <c r="U126" s="12" t="s">
        <v>34</v>
      </c>
      <c r="V126" s="12"/>
      <c r="W126" s="5" t="b">
        <f>IFERROR(__xludf.DUMMYFUNCTION("If(OR(X126=true, Y126=true), If(P126&gt;Date(2025, 6, 10), Datedif(Date(2025, 6, 10), P126, ""D""), DATEDIF(P126, Date(2025, 6, 10), ""D"") * -1))"),FALSE)</f>
        <v>0</v>
      </c>
      <c r="X126" s="5" t="b">
        <f t="shared" si="1"/>
        <v>0</v>
      </c>
      <c r="Y126" s="5" t="b">
        <f t="shared" si="2"/>
        <v>0</v>
      </c>
      <c r="Z126" s="5" t="b">
        <f>IFERROR(__xludf.DUMMYFUNCTION("If(OR(X126=true, Y126=true), if(W126&lt;-60, ""greater 60"",if(W126&lt;-30, ""31-60"", If(W126&lt;0,""0-30"", ""Not mature""))))"),FALSE)</f>
        <v>0</v>
      </c>
    </row>
    <row r="127" ht="12.75" customHeight="1" outlineLevel="4">
      <c r="A127" s="5" t="s">
        <v>260</v>
      </c>
      <c r="B127" s="6">
        <v>45796.0</v>
      </c>
      <c r="C127" s="5" t="s">
        <v>29</v>
      </c>
      <c r="D127" s="5" t="s">
        <v>261</v>
      </c>
      <c r="E127" s="6">
        <v>45796.0</v>
      </c>
      <c r="G127" s="5" t="s">
        <v>31</v>
      </c>
      <c r="H127" s="5" t="s">
        <v>32</v>
      </c>
      <c r="J127" s="5" t="s">
        <v>33</v>
      </c>
      <c r="L127" s="7">
        <v>8449.0</v>
      </c>
      <c r="M127" s="6">
        <v>45796.0</v>
      </c>
      <c r="N127" s="8">
        <v>30.0</v>
      </c>
      <c r="O127" s="9">
        <v>0.0</v>
      </c>
      <c r="P127" s="6">
        <v>45826.0</v>
      </c>
      <c r="R127" s="7">
        <v>8449.0</v>
      </c>
      <c r="S127" s="5" t="s">
        <v>34</v>
      </c>
      <c r="T127" s="7">
        <v>8449.0</v>
      </c>
      <c r="U127" s="5" t="s">
        <v>34</v>
      </c>
      <c r="W127" s="5">
        <f>IFERROR(__xludf.DUMMYFUNCTION("If(OR(X127=true, Y127=true), If(P127&gt;Date(2025, 6, 10), Datedif(Date(2025, 6, 10), P127, ""D""), DATEDIF(P127, Date(2025, 6, 10), ""D"") * -1))"),8.0)</f>
        <v>8</v>
      </c>
      <c r="X127" s="5" t="b">
        <f t="shared" si="1"/>
        <v>1</v>
      </c>
      <c r="Y127" s="5" t="b">
        <f t="shared" si="2"/>
        <v>0</v>
      </c>
      <c r="Z127" s="5" t="str">
        <f>IFERROR(__xludf.DUMMYFUNCTION("If(OR(X127=true, Y127=true), if(W127&lt;-60, ""greater 60"",if(W127&lt;-30, ""31-60"", If(W127&lt;0,""0-30"", ""Not mature""))))"),"Not mature")</f>
        <v>Not mature</v>
      </c>
    </row>
    <row r="128" ht="12.75" customHeight="1" outlineLevel="4">
      <c r="A128" s="5" t="s">
        <v>262</v>
      </c>
      <c r="B128" s="6">
        <v>45796.0</v>
      </c>
      <c r="C128" s="5" t="s">
        <v>29</v>
      </c>
      <c r="D128" s="5" t="s">
        <v>263</v>
      </c>
      <c r="E128" s="6">
        <v>45796.0</v>
      </c>
      <c r="G128" s="5" t="s">
        <v>31</v>
      </c>
      <c r="H128" s="5" t="s">
        <v>32</v>
      </c>
      <c r="J128" s="5" t="s">
        <v>33</v>
      </c>
      <c r="L128" s="7">
        <v>3927.0</v>
      </c>
      <c r="M128" s="6">
        <v>45796.0</v>
      </c>
      <c r="N128" s="8">
        <v>30.0</v>
      </c>
      <c r="O128" s="9">
        <v>0.0</v>
      </c>
      <c r="P128" s="6">
        <v>45826.0</v>
      </c>
      <c r="R128" s="7">
        <v>3927.0</v>
      </c>
      <c r="S128" s="5" t="s">
        <v>34</v>
      </c>
      <c r="T128" s="7">
        <v>3927.0</v>
      </c>
      <c r="U128" s="5" t="s">
        <v>34</v>
      </c>
      <c r="W128" s="5">
        <f>IFERROR(__xludf.DUMMYFUNCTION("If(OR(X128=true, Y128=true), If(P128&gt;Date(2025, 6, 10), Datedif(Date(2025, 6, 10), P128, ""D""), DATEDIF(P128, Date(2025, 6, 10), ""D"") * -1))"),8.0)</f>
        <v>8</v>
      </c>
      <c r="X128" s="5" t="b">
        <f t="shared" si="1"/>
        <v>1</v>
      </c>
      <c r="Y128" s="5" t="b">
        <f t="shared" si="2"/>
        <v>0</v>
      </c>
      <c r="Z128" s="5" t="str">
        <f>IFERROR(__xludf.DUMMYFUNCTION("If(OR(X128=true, Y128=true), if(W128&lt;-60, ""greater 60"",if(W128&lt;-30, ""31-60"", If(W128&lt;0,""0-30"", ""Not mature""))))"),"Not mature")</f>
        <v>Not mature</v>
      </c>
    </row>
    <row r="129" ht="12.75" customHeight="1" outlineLevel="3">
      <c r="A129" s="12" t="s">
        <v>264</v>
      </c>
      <c r="B129" s="13"/>
      <c r="C129" s="12"/>
      <c r="D129" s="12"/>
      <c r="E129" s="13"/>
      <c r="F129" s="12"/>
      <c r="G129" s="12"/>
      <c r="H129" s="12"/>
      <c r="I129" s="12"/>
      <c r="J129" s="12"/>
      <c r="K129" s="12"/>
      <c r="L129" s="14"/>
      <c r="M129" s="13"/>
      <c r="N129" s="14"/>
      <c r="O129" s="14"/>
      <c r="P129" s="13"/>
      <c r="Q129" s="12"/>
      <c r="R129" s="15">
        <v>12376.0</v>
      </c>
      <c r="S129" s="12" t="s">
        <v>34</v>
      </c>
      <c r="T129" s="15">
        <v>12376.0</v>
      </c>
      <c r="U129" s="12" t="s">
        <v>34</v>
      </c>
      <c r="V129" s="12"/>
      <c r="W129" s="5" t="b">
        <f>IFERROR(__xludf.DUMMYFUNCTION("If(OR(X129=true, Y129=true), If(P129&gt;Date(2025, 6, 10), Datedif(Date(2025, 6, 10), P129, ""D""), DATEDIF(P129, Date(2025, 6, 10), ""D"") * -1))"),FALSE)</f>
        <v>0</v>
      </c>
      <c r="X129" s="5" t="b">
        <f t="shared" si="1"/>
        <v>0</v>
      </c>
      <c r="Y129" s="5" t="b">
        <f t="shared" si="2"/>
        <v>0</v>
      </c>
      <c r="Z129" s="5" t="b">
        <f>IFERROR(__xludf.DUMMYFUNCTION("If(OR(X129=true, Y129=true), if(W129&lt;-60, ""greater 60"",if(W129&lt;-30, ""31-60"", If(W129&lt;0,""0-30"", ""Not mature""))))"),FALSE)</f>
        <v>0</v>
      </c>
    </row>
    <row r="130" ht="12.75" customHeight="1" outlineLevel="4">
      <c r="A130" s="5" t="s">
        <v>265</v>
      </c>
      <c r="B130" s="6">
        <v>45796.0</v>
      </c>
      <c r="C130" s="5" t="s">
        <v>29</v>
      </c>
      <c r="D130" s="5" t="s">
        <v>266</v>
      </c>
      <c r="E130" s="6">
        <v>45796.0</v>
      </c>
      <c r="G130" s="5" t="s">
        <v>31</v>
      </c>
      <c r="H130" s="5" t="s">
        <v>32</v>
      </c>
      <c r="J130" s="5" t="s">
        <v>33</v>
      </c>
      <c r="L130" s="7">
        <v>417.15</v>
      </c>
      <c r="M130" s="6">
        <v>45796.0</v>
      </c>
      <c r="N130" s="8">
        <v>30.0</v>
      </c>
      <c r="O130" s="9">
        <v>0.0</v>
      </c>
      <c r="P130" s="6">
        <v>45826.0</v>
      </c>
      <c r="R130" s="7">
        <v>417.15</v>
      </c>
      <c r="S130" s="5" t="s">
        <v>34</v>
      </c>
      <c r="T130" s="7">
        <v>417.15</v>
      </c>
      <c r="U130" s="5" t="s">
        <v>34</v>
      </c>
      <c r="W130" s="5">
        <f>IFERROR(__xludf.DUMMYFUNCTION("If(OR(X130=true, Y130=true), If(P130&gt;Date(2025, 6, 10), Datedif(Date(2025, 6, 10), P130, ""D""), DATEDIF(P130, Date(2025, 6, 10), ""D"") * -1))"),8.0)</f>
        <v>8</v>
      </c>
      <c r="X130" s="5" t="b">
        <f t="shared" si="1"/>
        <v>1</v>
      </c>
      <c r="Y130" s="5" t="b">
        <f t="shared" si="2"/>
        <v>0</v>
      </c>
      <c r="Z130" s="5" t="str">
        <f>IFERROR(__xludf.DUMMYFUNCTION("If(OR(X130=true, Y130=true), if(W130&lt;-60, ""greater 60"",if(W130&lt;-30, ""31-60"", If(W130&lt;0,""0-30"", ""Not mature""))))"),"Not mature")</f>
        <v>Not mature</v>
      </c>
    </row>
    <row r="131" ht="12.75" customHeight="1" outlineLevel="3">
      <c r="A131" s="12" t="s">
        <v>267</v>
      </c>
      <c r="B131" s="13"/>
      <c r="C131" s="12"/>
      <c r="D131" s="12"/>
      <c r="E131" s="13"/>
      <c r="F131" s="12"/>
      <c r="G131" s="12"/>
      <c r="H131" s="12"/>
      <c r="I131" s="12"/>
      <c r="J131" s="12"/>
      <c r="K131" s="12"/>
      <c r="L131" s="14"/>
      <c r="M131" s="13"/>
      <c r="N131" s="14"/>
      <c r="O131" s="14"/>
      <c r="P131" s="13"/>
      <c r="Q131" s="12"/>
      <c r="R131" s="15">
        <v>417.15</v>
      </c>
      <c r="S131" s="12" t="s">
        <v>34</v>
      </c>
      <c r="T131" s="15">
        <v>417.15</v>
      </c>
      <c r="U131" s="12" t="s">
        <v>34</v>
      </c>
      <c r="V131" s="12"/>
      <c r="W131" s="5" t="b">
        <f>IFERROR(__xludf.DUMMYFUNCTION("If(OR(X131=true, Y131=true), If(P131&gt;Date(2025, 6, 10), Datedif(Date(2025, 6, 10), P131, ""D""), DATEDIF(P131, Date(2025, 6, 10), ""D"") * -1))"),FALSE)</f>
        <v>0</v>
      </c>
      <c r="X131" s="5" t="b">
        <f t="shared" si="1"/>
        <v>0</v>
      </c>
      <c r="Y131" s="5" t="b">
        <f t="shared" si="2"/>
        <v>0</v>
      </c>
      <c r="Z131" s="5" t="b">
        <f>IFERROR(__xludf.DUMMYFUNCTION("If(OR(X131=true, Y131=true), if(W131&lt;-60, ""greater 60"",if(W131&lt;-30, ""31-60"", If(W131&lt;0,""0-30"", ""Not mature""))))"),FALSE)</f>
        <v>0</v>
      </c>
    </row>
    <row r="132" ht="12.75" customHeight="1" outlineLevel="4">
      <c r="A132" s="5" t="s">
        <v>268</v>
      </c>
      <c r="B132" s="6">
        <v>45754.0</v>
      </c>
      <c r="C132" s="5" t="s">
        <v>147</v>
      </c>
      <c r="D132" s="5" t="s">
        <v>269</v>
      </c>
      <c r="E132" s="6">
        <v>45754.0</v>
      </c>
      <c r="G132" s="5" t="s">
        <v>31</v>
      </c>
      <c r="H132" s="5" t="s">
        <v>149</v>
      </c>
      <c r="J132" s="5" t="s">
        <v>33</v>
      </c>
      <c r="L132" s="7">
        <v>0.0</v>
      </c>
      <c r="M132" s="6">
        <v>45754.0</v>
      </c>
      <c r="N132" s="8">
        <v>0.0</v>
      </c>
      <c r="O132" s="9">
        <v>0.0</v>
      </c>
      <c r="P132" s="6">
        <v>45754.0</v>
      </c>
      <c r="R132" s="7">
        <v>-924.0</v>
      </c>
      <c r="S132" s="5" t="s">
        <v>34</v>
      </c>
      <c r="T132" s="7">
        <v>-924.0</v>
      </c>
      <c r="U132" s="5" t="s">
        <v>34</v>
      </c>
      <c r="W132" s="5">
        <f>IFERROR(__xludf.DUMMYFUNCTION("If(OR(X132=true, Y132=true), If(P132&gt;Date(2025, 6, 10), Datedif(Date(2025, 6, 10), P132, ""D""), DATEDIF(P132, Date(2025, 6, 10), ""D"") * -1))"),-64.0)</f>
        <v>-64</v>
      </c>
      <c r="X132" s="5" t="b">
        <f t="shared" si="1"/>
        <v>0</v>
      </c>
      <c r="Y132" s="5" t="b">
        <f t="shared" si="2"/>
        <v>1</v>
      </c>
      <c r="Z132" s="5" t="str">
        <f>IFERROR(__xludf.DUMMYFUNCTION("If(OR(X132=true, Y132=true), if(W132&lt;-60, ""greater 60"",if(W132&lt;-30, ""31-60"", If(W132&lt;0,""0-30"", ""Not mature""))))"),"greater 60")</f>
        <v>greater 60</v>
      </c>
    </row>
    <row r="133" ht="12.75" customHeight="1" outlineLevel="3">
      <c r="A133" s="12" t="s">
        <v>270</v>
      </c>
      <c r="B133" s="13"/>
      <c r="C133" s="12"/>
      <c r="D133" s="12"/>
      <c r="E133" s="13"/>
      <c r="F133" s="12"/>
      <c r="G133" s="12"/>
      <c r="H133" s="12"/>
      <c r="I133" s="12"/>
      <c r="J133" s="12"/>
      <c r="K133" s="12"/>
      <c r="L133" s="14"/>
      <c r="M133" s="13"/>
      <c r="N133" s="14"/>
      <c r="O133" s="14"/>
      <c r="P133" s="13"/>
      <c r="Q133" s="12"/>
      <c r="R133" s="15">
        <v>-924.0</v>
      </c>
      <c r="S133" s="12" t="s">
        <v>34</v>
      </c>
      <c r="T133" s="15">
        <v>-924.0</v>
      </c>
      <c r="U133" s="12" t="s">
        <v>34</v>
      </c>
      <c r="V133" s="12"/>
      <c r="W133" s="5" t="b">
        <f>IFERROR(__xludf.DUMMYFUNCTION("If(OR(X133=true, Y133=true), If(P133&gt;Date(2025, 6, 10), Datedif(Date(2025, 6, 10), P133, ""D""), DATEDIF(P133, Date(2025, 6, 10), ""D"") * -1))"),FALSE)</f>
        <v>0</v>
      </c>
      <c r="X133" s="5" t="b">
        <f t="shared" si="1"/>
        <v>0</v>
      </c>
      <c r="Y133" s="5" t="b">
        <f t="shared" si="2"/>
        <v>0</v>
      </c>
      <c r="Z133" s="5" t="b">
        <f>IFERROR(__xludf.DUMMYFUNCTION("If(OR(X133=true, Y133=true), if(W133&lt;-60, ""greater 60"",if(W133&lt;-30, ""31-60"", If(W133&lt;0,""0-30"", ""Not mature""))))"),FALSE)</f>
        <v>0</v>
      </c>
    </row>
    <row r="134" ht="12.75" customHeight="1" outlineLevel="4">
      <c r="A134" s="5" t="s">
        <v>271</v>
      </c>
      <c r="B134" s="6">
        <v>45216.0</v>
      </c>
      <c r="C134" s="5" t="s">
        <v>29</v>
      </c>
      <c r="D134" s="5" t="s">
        <v>272</v>
      </c>
      <c r="E134" s="6">
        <v>45216.0</v>
      </c>
      <c r="G134" s="5" t="s">
        <v>31</v>
      </c>
      <c r="H134" s="5" t="s">
        <v>32</v>
      </c>
      <c r="J134" s="5" t="s">
        <v>273</v>
      </c>
      <c r="L134" s="7">
        <v>5320.0</v>
      </c>
      <c r="M134" s="6">
        <v>45216.0</v>
      </c>
      <c r="N134" s="8">
        <v>30.0</v>
      </c>
      <c r="O134" s="9">
        <v>0.0</v>
      </c>
      <c r="P134" s="6">
        <v>45246.0</v>
      </c>
      <c r="R134" s="7">
        <v>5320.0</v>
      </c>
      <c r="S134" s="5" t="s">
        <v>244</v>
      </c>
      <c r="T134" s="7">
        <v>5016.22</v>
      </c>
      <c r="U134" s="5" t="s">
        <v>34</v>
      </c>
      <c r="W134" s="5">
        <f>IFERROR(__xludf.DUMMYFUNCTION("If(OR(X134=true, Y134=true), If(P134&gt;Date(2025, 6, 10), Datedif(Date(2025, 6, 10), P134, ""D""), DATEDIF(P134, Date(2025, 6, 10), ""D"") * -1))"),-572.0)</f>
        <v>-572</v>
      </c>
      <c r="X134" s="5" t="b">
        <f t="shared" si="1"/>
        <v>1</v>
      </c>
      <c r="Y134" s="5" t="b">
        <f t="shared" si="2"/>
        <v>0</v>
      </c>
      <c r="Z134" s="5" t="str">
        <f>IFERROR(__xludf.DUMMYFUNCTION("If(OR(X134=true, Y134=true), if(W134&lt;-60, ""greater 60"",if(W134&lt;-30, ""31-60"", If(W134&lt;0,""0-30"", ""Not mature""))))"),"greater 60")</f>
        <v>greater 60</v>
      </c>
    </row>
    <row r="135" ht="12.75" customHeight="1" outlineLevel="4">
      <c r="A135" s="5" t="s">
        <v>271</v>
      </c>
      <c r="B135" s="6">
        <v>45335.0</v>
      </c>
      <c r="C135" s="5" t="s">
        <v>29</v>
      </c>
      <c r="D135" s="5" t="s">
        <v>274</v>
      </c>
      <c r="E135" s="6">
        <v>45335.0</v>
      </c>
      <c r="G135" s="5" t="s">
        <v>31</v>
      </c>
      <c r="H135" s="5" t="s">
        <v>49</v>
      </c>
      <c r="J135" s="5" t="s">
        <v>273</v>
      </c>
      <c r="L135" s="7">
        <v>-1596.0</v>
      </c>
      <c r="M135" s="6">
        <v>45335.0</v>
      </c>
      <c r="N135" s="8">
        <v>30.0</v>
      </c>
      <c r="O135" s="9">
        <v>0.0</v>
      </c>
      <c r="P135" s="6">
        <v>45335.0</v>
      </c>
      <c r="R135" s="7">
        <v>-1596.0</v>
      </c>
      <c r="S135" s="5" t="s">
        <v>244</v>
      </c>
      <c r="T135" s="7">
        <v>-1504.87</v>
      </c>
      <c r="U135" s="5" t="s">
        <v>34</v>
      </c>
      <c r="W135" s="5">
        <f>IFERROR(__xludf.DUMMYFUNCTION("If(OR(X135=true, Y135=true), If(P135&gt;Date(2025, 6, 10), Datedif(Date(2025, 6, 10), P135, ""D""), DATEDIF(P135, Date(2025, 6, 10), ""D"") * -1))"),-483.0)</f>
        <v>-483</v>
      </c>
      <c r="X135" s="5" t="b">
        <f t="shared" si="1"/>
        <v>0</v>
      </c>
      <c r="Y135" s="5" t="b">
        <f t="shared" si="2"/>
        <v>1</v>
      </c>
      <c r="Z135" s="5" t="str">
        <f>IFERROR(__xludf.DUMMYFUNCTION("If(OR(X135=true, Y135=true), if(W135&lt;-60, ""greater 60"",if(W135&lt;-30, ""31-60"", If(W135&lt;0,""0-30"", ""Not mature""))))"),"greater 60")</f>
        <v>greater 60</v>
      </c>
    </row>
    <row r="136" ht="12.75" customHeight="1" outlineLevel="3">
      <c r="A136" s="12" t="s">
        <v>275</v>
      </c>
      <c r="B136" s="13"/>
      <c r="C136" s="12"/>
      <c r="D136" s="12"/>
      <c r="E136" s="13"/>
      <c r="F136" s="12"/>
      <c r="G136" s="12"/>
      <c r="H136" s="12"/>
      <c r="I136" s="12"/>
      <c r="J136" s="12"/>
      <c r="K136" s="12"/>
      <c r="L136" s="14"/>
      <c r="M136" s="13"/>
      <c r="N136" s="14"/>
      <c r="O136" s="14"/>
      <c r="P136" s="13"/>
      <c r="Q136" s="12"/>
      <c r="R136" s="15">
        <v>3724.0</v>
      </c>
      <c r="S136" s="12" t="s">
        <v>244</v>
      </c>
      <c r="T136" s="15">
        <v>3511.35</v>
      </c>
      <c r="U136" s="12" t="s">
        <v>34</v>
      </c>
      <c r="V136" s="12"/>
      <c r="W136" s="5" t="b">
        <f>IFERROR(__xludf.DUMMYFUNCTION("If(OR(X136=true, Y136=true), If(P136&gt;Date(2025, 6, 10), Datedif(Date(2025, 6, 10), P136, ""D""), DATEDIF(P136, Date(2025, 6, 10), ""D"") * -1))"),FALSE)</f>
        <v>0</v>
      </c>
      <c r="X136" s="5" t="b">
        <f t="shared" si="1"/>
        <v>0</v>
      </c>
      <c r="Y136" s="5" t="b">
        <f t="shared" si="2"/>
        <v>0</v>
      </c>
      <c r="Z136" s="5" t="b">
        <f>IFERROR(__xludf.DUMMYFUNCTION("If(OR(X136=true, Y136=true), if(W136&lt;-60, ""greater 60"",if(W136&lt;-30, ""31-60"", If(W136&lt;0,""0-30"", ""Not mature""))))"),FALSE)</f>
        <v>0</v>
      </c>
    </row>
    <row r="137" ht="12.75" customHeight="1" outlineLevel="4">
      <c r="A137" s="5" t="s">
        <v>276</v>
      </c>
      <c r="B137" s="6">
        <v>45527.0</v>
      </c>
      <c r="C137" s="5" t="s">
        <v>29</v>
      </c>
      <c r="D137" s="5" t="s">
        <v>277</v>
      </c>
      <c r="E137" s="6">
        <v>45527.0</v>
      </c>
      <c r="G137" s="5" t="s">
        <v>31</v>
      </c>
      <c r="H137" s="5" t="s">
        <v>32</v>
      </c>
      <c r="J137" s="5" t="s">
        <v>114</v>
      </c>
      <c r="L137" s="7">
        <v>2481.27</v>
      </c>
      <c r="M137" s="6">
        <v>45527.0</v>
      </c>
      <c r="N137" s="8">
        <v>1.0</v>
      </c>
      <c r="O137" s="9">
        <v>0.0</v>
      </c>
      <c r="P137" s="6">
        <v>45528.0</v>
      </c>
      <c r="R137" s="7">
        <v>2481.27</v>
      </c>
      <c r="S137" s="5" t="s">
        <v>34</v>
      </c>
      <c r="T137" s="7">
        <v>2481.27</v>
      </c>
      <c r="U137" s="5" t="s">
        <v>34</v>
      </c>
      <c r="W137" s="5">
        <f>IFERROR(__xludf.DUMMYFUNCTION("If(OR(X137=true, Y137=true), If(P137&gt;Date(2025, 6, 10), Datedif(Date(2025, 6, 10), P137, ""D""), DATEDIF(P137, Date(2025, 6, 10), ""D"") * -1))"),-290.0)</f>
        <v>-290</v>
      </c>
      <c r="X137" s="5" t="b">
        <f t="shared" si="1"/>
        <v>1</v>
      </c>
      <c r="Y137" s="5" t="b">
        <f t="shared" si="2"/>
        <v>0</v>
      </c>
      <c r="Z137" s="5" t="str">
        <f>IFERROR(__xludf.DUMMYFUNCTION("If(OR(X137=true, Y137=true), if(W137&lt;-60, ""greater 60"",if(W137&lt;-30, ""31-60"", If(W137&lt;0,""0-30"", ""Not mature""))))"),"greater 60")</f>
        <v>greater 60</v>
      </c>
    </row>
    <row r="138" ht="12.75" customHeight="1" outlineLevel="4">
      <c r="A138" s="5" t="s">
        <v>278</v>
      </c>
      <c r="B138" s="6">
        <v>45540.0</v>
      </c>
      <c r="C138" s="5" t="s">
        <v>29</v>
      </c>
      <c r="D138" s="5" t="s">
        <v>279</v>
      </c>
      <c r="E138" s="6">
        <v>45540.0</v>
      </c>
      <c r="G138" s="5" t="s">
        <v>31</v>
      </c>
      <c r="H138" s="5" t="s">
        <v>32</v>
      </c>
      <c r="J138" s="5" t="s">
        <v>114</v>
      </c>
      <c r="L138" s="7">
        <v>45749.11</v>
      </c>
      <c r="M138" s="6">
        <v>45540.0</v>
      </c>
      <c r="N138" s="8">
        <v>1.0</v>
      </c>
      <c r="O138" s="9">
        <v>0.0</v>
      </c>
      <c r="P138" s="6">
        <v>45541.0</v>
      </c>
      <c r="R138" s="7">
        <v>45749.11</v>
      </c>
      <c r="S138" s="5" t="s">
        <v>34</v>
      </c>
      <c r="T138" s="7">
        <v>45749.11</v>
      </c>
      <c r="U138" s="5" t="s">
        <v>34</v>
      </c>
      <c r="W138" s="5">
        <f>IFERROR(__xludf.DUMMYFUNCTION("If(OR(X138=true, Y138=true), If(P138&gt;Date(2025, 6, 10), Datedif(Date(2025, 6, 10), P138, ""D""), DATEDIF(P138, Date(2025, 6, 10), ""D"") * -1))"),-277.0)</f>
        <v>-277</v>
      </c>
      <c r="X138" s="5" t="b">
        <f t="shared" si="1"/>
        <v>1</v>
      </c>
      <c r="Y138" s="5" t="b">
        <f t="shared" si="2"/>
        <v>0</v>
      </c>
      <c r="Z138" s="5" t="str">
        <f>IFERROR(__xludf.DUMMYFUNCTION("If(OR(X138=true, Y138=true), if(W138&lt;-60, ""greater 60"",if(W138&lt;-30, ""31-60"", If(W138&lt;0,""0-30"", ""Not mature""))))"),"greater 60")</f>
        <v>greater 60</v>
      </c>
    </row>
    <row r="139" ht="12.75" customHeight="1" outlineLevel="4">
      <c r="A139" s="5" t="s">
        <v>280</v>
      </c>
      <c r="B139" s="6">
        <v>45728.0</v>
      </c>
      <c r="C139" s="5" t="s">
        <v>29</v>
      </c>
      <c r="D139" s="5" t="s">
        <v>281</v>
      </c>
      <c r="E139" s="6">
        <v>45728.0</v>
      </c>
      <c r="G139" s="5" t="s">
        <v>31</v>
      </c>
      <c r="H139" s="5" t="s">
        <v>32</v>
      </c>
      <c r="J139" s="5" t="s">
        <v>114</v>
      </c>
      <c r="L139" s="7">
        <v>26899.65</v>
      </c>
      <c r="M139" s="6">
        <v>45728.0</v>
      </c>
      <c r="N139" s="8">
        <v>30.0</v>
      </c>
      <c r="O139" s="9">
        <v>0.0</v>
      </c>
      <c r="P139" s="6">
        <v>45758.0</v>
      </c>
      <c r="R139" s="7">
        <v>26899.65</v>
      </c>
      <c r="S139" s="5" t="s">
        <v>34</v>
      </c>
      <c r="T139" s="7">
        <v>26899.65</v>
      </c>
      <c r="U139" s="5" t="s">
        <v>34</v>
      </c>
      <c r="W139" s="5">
        <f>IFERROR(__xludf.DUMMYFUNCTION("If(OR(X139=true, Y139=true), If(P139&gt;Date(2025, 6, 10), Datedif(Date(2025, 6, 10), P139, ""D""), DATEDIF(P139, Date(2025, 6, 10), ""D"") * -1))"),-60.0)</f>
        <v>-60</v>
      </c>
      <c r="X139" s="5" t="b">
        <f t="shared" si="1"/>
        <v>1</v>
      </c>
      <c r="Y139" s="5" t="b">
        <f t="shared" si="2"/>
        <v>0</v>
      </c>
      <c r="Z139" s="5" t="str">
        <f>IFERROR(__xludf.DUMMYFUNCTION("If(OR(X139=true, Y139=true), if(W139&lt;-60, ""greater 60"",if(W139&lt;-30, ""31-60"", If(W139&lt;0,""0-30"", ""Not mature""))))"),"31-60")</f>
        <v>31-60</v>
      </c>
    </row>
    <row r="140" ht="12.75" customHeight="1" outlineLevel="4">
      <c r="A140" s="5" t="s">
        <v>282</v>
      </c>
      <c r="B140" s="6">
        <v>45513.0</v>
      </c>
      <c r="C140" s="5" t="s">
        <v>112</v>
      </c>
      <c r="D140" s="5" t="s">
        <v>283</v>
      </c>
      <c r="E140" s="6">
        <v>45513.0</v>
      </c>
      <c r="G140" s="5" t="s">
        <v>114</v>
      </c>
      <c r="H140" s="5" t="s">
        <v>115</v>
      </c>
      <c r="J140" s="5" t="s">
        <v>114</v>
      </c>
      <c r="L140" s="7">
        <v>0.0</v>
      </c>
      <c r="M140" s="6">
        <v>45513.0</v>
      </c>
      <c r="N140" s="8">
        <v>0.0</v>
      </c>
      <c r="O140" s="9">
        <v>0.0</v>
      </c>
      <c r="P140" s="6">
        <v>45513.0</v>
      </c>
      <c r="R140" s="7">
        <v>-56519.77</v>
      </c>
      <c r="S140" s="5" t="s">
        <v>34</v>
      </c>
      <c r="T140" s="7">
        <v>-56519.77</v>
      </c>
      <c r="U140" s="5" t="s">
        <v>34</v>
      </c>
      <c r="W140" s="5">
        <f>IFERROR(__xludf.DUMMYFUNCTION("If(OR(X140=true, Y140=true), If(P140&gt;Date(2025, 6, 10), Datedif(Date(2025, 6, 10), P140, ""D""), DATEDIF(P140, Date(2025, 6, 10), ""D"") * -1))"),-305.0)</f>
        <v>-305</v>
      </c>
      <c r="X140" s="5" t="b">
        <f t="shared" si="1"/>
        <v>0</v>
      </c>
      <c r="Y140" s="5" t="b">
        <f t="shared" si="2"/>
        <v>1</v>
      </c>
      <c r="Z140" s="5" t="str">
        <f>IFERROR(__xludf.DUMMYFUNCTION("If(OR(X140=true, Y140=true), if(W140&lt;-60, ""greater 60"",if(W140&lt;-30, ""31-60"", If(W140&lt;0,""0-30"", ""Not mature""))))"),"greater 60")</f>
        <v>greater 60</v>
      </c>
    </row>
    <row r="141" ht="12.75" customHeight="1" outlineLevel="3">
      <c r="A141" s="12" t="s">
        <v>284</v>
      </c>
      <c r="B141" s="13"/>
      <c r="C141" s="12"/>
      <c r="D141" s="12"/>
      <c r="E141" s="13"/>
      <c r="F141" s="12"/>
      <c r="G141" s="12"/>
      <c r="H141" s="12"/>
      <c r="I141" s="12"/>
      <c r="J141" s="12"/>
      <c r="K141" s="12"/>
      <c r="L141" s="14"/>
      <c r="M141" s="13"/>
      <c r="N141" s="14"/>
      <c r="O141" s="14"/>
      <c r="P141" s="13"/>
      <c r="Q141" s="12"/>
      <c r="R141" s="15">
        <v>18610.26</v>
      </c>
      <c r="S141" s="12" t="s">
        <v>34</v>
      </c>
      <c r="T141" s="15">
        <v>18610.26</v>
      </c>
      <c r="U141" s="12" t="s">
        <v>34</v>
      </c>
      <c r="V141" s="12"/>
      <c r="W141" s="5" t="b">
        <f>IFERROR(__xludf.DUMMYFUNCTION("If(OR(X141=true, Y141=true), If(P141&gt;Date(2025, 6, 10), Datedif(Date(2025, 6, 10), P141, ""D""), DATEDIF(P141, Date(2025, 6, 10), ""D"") * -1))"),FALSE)</f>
        <v>0</v>
      </c>
      <c r="X141" s="5" t="b">
        <f t="shared" si="1"/>
        <v>0</v>
      </c>
      <c r="Y141" s="5" t="b">
        <f t="shared" si="2"/>
        <v>0</v>
      </c>
      <c r="Z141" s="5" t="b">
        <f>IFERROR(__xludf.DUMMYFUNCTION("If(OR(X141=true, Y141=true), if(W141&lt;-60, ""greater 60"",if(W141&lt;-30, ""31-60"", If(W141&lt;0,""0-30"", ""Not mature""))))"),FALSE)</f>
        <v>0</v>
      </c>
    </row>
    <row r="142" ht="12.75" customHeight="1" outlineLevel="4">
      <c r="A142" s="5" t="s">
        <v>285</v>
      </c>
      <c r="B142" s="6">
        <v>45798.0</v>
      </c>
      <c r="C142" s="5" t="s">
        <v>29</v>
      </c>
      <c r="D142" s="5" t="s">
        <v>286</v>
      </c>
      <c r="E142" s="6">
        <v>45798.0</v>
      </c>
      <c r="G142" s="5" t="s">
        <v>31</v>
      </c>
      <c r="H142" s="5" t="s">
        <v>32</v>
      </c>
      <c r="J142" s="5" t="s">
        <v>33</v>
      </c>
      <c r="L142" s="7">
        <v>5837.66</v>
      </c>
      <c r="M142" s="6">
        <v>45798.0</v>
      </c>
      <c r="N142" s="8">
        <v>21.0</v>
      </c>
      <c r="O142" s="9">
        <v>2.0</v>
      </c>
      <c r="P142" s="6">
        <v>45828.0</v>
      </c>
      <c r="R142" s="7">
        <v>5837.66</v>
      </c>
      <c r="S142" s="5" t="s">
        <v>34</v>
      </c>
      <c r="T142" s="7">
        <v>5837.66</v>
      </c>
      <c r="U142" s="5" t="s">
        <v>34</v>
      </c>
      <c r="W142" s="5">
        <f>IFERROR(__xludf.DUMMYFUNCTION("If(OR(X142=true, Y142=true), If(P142&gt;Date(2025, 6, 10), Datedif(Date(2025, 6, 10), P142, ""D""), DATEDIF(P142, Date(2025, 6, 10), ""D"") * -1))"),10.0)</f>
        <v>10</v>
      </c>
      <c r="X142" s="5" t="b">
        <f t="shared" si="1"/>
        <v>1</v>
      </c>
      <c r="Y142" s="5" t="b">
        <f t="shared" si="2"/>
        <v>0</v>
      </c>
      <c r="Z142" s="5" t="str">
        <f>IFERROR(__xludf.DUMMYFUNCTION("If(OR(X142=true, Y142=true), if(W142&lt;-60, ""greater 60"",if(W142&lt;-30, ""31-60"", If(W142&lt;0,""0-30"", ""Not mature""))))"),"Not mature")</f>
        <v>Not mature</v>
      </c>
    </row>
    <row r="143" ht="12.75" customHeight="1" outlineLevel="3">
      <c r="A143" s="12" t="s">
        <v>287</v>
      </c>
      <c r="B143" s="13"/>
      <c r="C143" s="12"/>
      <c r="D143" s="12"/>
      <c r="E143" s="13"/>
      <c r="F143" s="12"/>
      <c r="G143" s="12"/>
      <c r="H143" s="12"/>
      <c r="I143" s="12"/>
      <c r="J143" s="12"/>
      <c r="K143" s="12"/>
      <c r="L143" s="14"/>
      <c r="M143" s="13"/>
      <c r="N143" s="14"/>
      <c r="O143" s="14"/>
      <c r="P143" s="13"/>
      <c r="Q143" s="12"/>
      <c r="R143" s="15">
        <v>5837.66</v>
      </c>
      <c r="S143" s="12" t="s">
        <v>34</v>
      </c>
      <c r="T143" s="15">
        <v>5837.66</v>
      </c>
      <c r="U143" s="12" t="s">
        <v>34</v>
      </c>
      <c r="V143" s="12"/>
      <c r="W143" s="5" t="b">
        <f>IFERROR(__xludf.DUMMYFUNCTION("If(OR(X143=true, Y143=true), If(P143&gt;Date(2025, 6, 10), Datedif(Date(2025, 6, 10), P143, ""D""), DATEDIF(P143, Date(2025, 6, 10), ""D"") * -1))"),FALSE)</f>
        <v>0</v>
      </c>
      <c r="X143" s="5" t="b">
        <f t="shared" si="1"/>
        <v>0</v>
      </c>
      <c r="Y143" s="5" t="b">
        <f t="shared" si="2"/>
        <v>0</v>
      </c>
      <c r="Z143" s="5" t="b">
        <f>IFERROR(__xludf.DUMMYFUNCTION("If(OR(X143=true, Y143=true), if(W143&lt;-60, ""greater 60"",if(W143&lt;-30, ""31-60"", If(W143&lt;0,""0-30"", ""Not mature""))))"),FALSE)</f>
        <v>0</v>
      </c>
    </row>
    <row r="144" ht="12.75" customHeight="1" outlineLevel="4">
      <c r="A144" s="5" t="s">
        <v>288</v>
      </c>
      <c r="B144" s="6">
        <v>45747.0</v>
      </c>
      <c r="C144" s="5" t="s">
        <v>29</v>
      </c>
      <c r="D144" s="5" t="s">
        <v>289</v>
      </c>
      <c r="E144" s="6">
        <v>45747.0</v>
      </c>
      <c r="G144" s="5" t="s">
        <v>31</v>
      </c>
      <c r="H144" s="5" t="s">
        <v>32</v>
      </c>
      <c r="J144" s="5" t="s">
        <v>114</v>
      </c>
      <c r="L144" s="7">
        <v>1577.13</v>
      </c>
      <c r="M144" s="6">
        <v>45747.0</v>
      </c>
      <c r="N144" s="8">
        <v>30.0</v>
      </c>
      <c r="O144" s="9">
        <v>0.0</v>
      </c>
      <c r="P144" s="6">
        <v>45777.0</v>
      </c>
      <c r="R144" s="7">
        <v>1577.13</v>
      </c>
      <c r="S144" s="5" t="s">
        <v>34</v>
      </c>
      <c r="T144" s="7">
        <v>1577.13</v>
      </c>
      <c r="U144" s="5" t="s">
        <v>34</v>
      </c>
      <c r="W144" s="5">
        <f>IFERROR(__xludf.DUMMYFUNCTION("If(OR(X144=true, Y144=true), If(P144&gt;Date(2025, 6, 10), Datedif(Date(2025, 6, 10), P144, ""D""), DATEDIF(P144, Date(2025, 6, 10), ""D"") * -1))"),-41.0)</f>
        <v>-41</v>
      </c>
      <c r="X144" s="5" t="b">
        <f t="shared" si="1"/>
        <v>1</v>
      </c>
      <c r="Y144" s="5" t="b">
        <f t="shared" si="2"/>
        <v>0</v>
      </c>
      <c r="Z144" s="5" t="str">
        <f>IFERROR(__xludf.DUMMYFUNCTION("If(OR(X144=true, Y144=true), if(W144&lt;-60, ""greater 60"",if(W144&lt;-30, ""31-60"", If(W144&lt;0,""0-30"", ""Not mature""))))"),"31-60")</f>
        <v>31-60</v>
      </c>
    </row>
    <row r="145" ht="12.75" customHeight="1" outlineLevel="3">
      <c r="A145" s="12" t="s">
        <v>290</v>
      </c>
      <c r="B145" s="13"/>
      <c r="C145" s="12"/>
      <c r="D145" s="12"/>
      <c r="E145" s="13"/>
      <c r="F145" s="12"/>
      <c r="G145" s="12"/>
      <c r="H145" s="12"/>
      <c r="I145" s="12"/>
      <c r="J145" s="12"/>
      <c r="K145" s="12"/>
      <c r="L145" s="14"/>
      <c r="M145" s="13"/>
      <c r="N145" s="14"/>
      <c r="O145" s="14"/>
      <c r="P145" s="13"/>
      <c r="Q145" s="12"/>
      <c r="R145" s="15">
        <v>1577.13</v>
      </c>
      <c r="S145" s="12" t="s">
        <v>34</v>
      </c>
      <c r="T145" s="15">
        <v>1577.13</v>
      </c>
      <c r="U145" s="12" t="s">
        <v>34</v>
      </c>
      <c r="V145" s="12"/>
      <c r="W145" s="5" t="b">
        <f>IFERROR(__xludf.DUMMYFUNCTION("If(OR(X145=true, Y145=true), If(P145&gt;Date(2025, 6, 10), Datedif(Date(2025, 6, 10), P145, ""D""), DATEDIF(P145, Date(2025, 6, 10), ""D"") * -1))"),FALSE)</f>
        <v>0</v>
      </c>
      <c r="X145" s="5" t="b">
        <f t="shared" si="1"/>
        <v>0</v>
      </c>
      <c r="Y145" s="5" t="b">
        <f t="shared" si="2"/>
        <v>0</v>
      </c>
      <c r="Z145" s="5" t="b">
        <f>IFERROR(__xludf.DUMMYFUNCTION("If(OR(X145=true, Y145=true), if(W145&lt;-60, ""greater 60"",if(W145&lt;-30, ""31-60"", If(W145&lt;0,""0-30"", ""Not mature""))))"),FALSE)</f>
        <v>0</v>
      </c>
    </row>
    <row r="146" ht="12.75" customHeight="1" outlineLevel="2">
      <c r="A146" s="12" t="s">
        <v>291</v>
      </c>
      <c r="B146" s="13"/>
      <c r="C146" s="12"/>
      <c r="D146" s="12"/>
      <c r="E146" s="13"/>
      <c r="F146" s="12"/>
      <c r="G146" s="12"/>
      <c r="H146" s="12"/>
      <c r="I146" s="12"/>
      <c r="J146" s="12"/>
      <c r="K146" s="12"/>
      <c r="L146" s="14"/>
      <c r="M146" s="13"/>
      <c r="N146" s="14"/>
      <c r="O146" s="14"/>
      <c r="P146" s="13"/>
      <c r="Q146" s="12"/>
      <c r="R146" s="15">
        <v>387034.16</v>
      </c>
      <c r="S146" s="12" t="s">
        <v>34</v>
      </c>
      <c r="T146" s="15">
        <v>418905.68</v>
      </c>
      <c r="U146" s="12" t="s">
        <v>34</v>
      </c>
      <c r="V146" s="12"/>
      <c r="W146" s="5" t="b">
        <f>IFERROR(__xludf.DUMMYFUNCTION("If(OR(X146=true, Y146=true), If(P146&gt;Date(2025, 6, 10), Datedif(Date(2025, 6, 10), P146, ""D""), DATEDIF(P146, Date(2025, 6, 10), ""D"") * -1))"),FALSE)</f>
        <v>0</v>
      </c>
      <c r="X146" s="5" t="b">
        <f t="shared" si="1"/>
        <v>0</v>
      </c>
      <c r="Y146" s="5" t="b">
        <f t="shared" si="2"/>
        <v>0</v>
      </c>
      <c r="Z146" s="5" t="b">
        <f>IFERROR(__xludf.DUMMYFUNCTION("If(OR(X146=true, Y146=true), if(W146&lt;-60, ""greater 60"",if(W146&lt;-30, ""31-60"", If(W146&lt;0,""0-30"", ""Not mature""))))"),FALSE)</f>
        <v>0</v>
      </c>
    </row>
    <row r="147" ht="12.75" customHeight="1" outlineLevel="2">
      <c r="A147" s="12"/>
      <c r="B147" s="13"/>
      <c r="C147" s="12"/>
      <c r="D147" s="12"/>
      <c r="E147" s="13"/>
      <c r="F147" s="12"/>
      <c r="G147" s="12"/>
      <c r="H147" s="12"/>
      <c r="I147" s="12"/>
      <c r="J147" s="12"/>
      <c r="K147" s="12"/>
      <c r="L147" s="14"/>
      <c r="M147" s="13"/>
      <c r="N147" s="14"/>
      <c r="O147" s="14"/>
      <c r="P147" s="13"/>
      <c r="Q147" s="12"/>
      <c r="R147" s="15">
        <v>34408.85</v>
      </c>
      <c r="S147" s="12" t="s">
        <v>244</v>
      </c>
      <c r="T147" s="14"/>
      <c r="U147" s="12"/>
      <c r="V147" s="12"/>
      <c r="W147" s="5" t="b">
        <f>IFERROR(__xludf.DUMMYFUNCTION("If(OR(X147=true, Y147=true), If(P147&gt;Date(2025, 6, 10), Datedif(Date(2025, 6, 10), P147, ""D""), DATEDIF(P147, Date(2025, 6, 10), ""D"") * -1))"),FALSE)</f>
        <v>0</v>
      </c>
      <c r="X147" s="5" t="b">
        <f t="shared" si="1"/>
        <v>0</v>
      </c>
      <c r="Y147" s="5" t="b">
        <f t="shared" si="2"/>
        <v>0</v>
      </c>
      <c r="Z147" s="5" t="b">
        <f>IFERROR(__xludf.DUMMYFUNCTION("If(OR(X147=true, Y147=true), if(W147&lt;-60, ""greater 60"",if(W147&lt;-30, ""31-60"", If(W147&lt;0,""0-30"", ""Not mature""))))"),FALSE)</f>
        <v>0</v>
      </c>
    </row>
    <row r="148" ht="12.75" customHeight="1" outlineLevel="1">
      <c r="A148" s="12" t="s">
        <v>292</v>
      </c>
      <c r="B148" s="13"/>
      <c r="C148" s="12"/>
      <c r="D148" s="12"/>
      <c r="E148" s="13"/>
      <c r="F148" s="12"/>
      <c r="G148" s="12"/>
      <c r="H148" s="12"/>
      <c r="I148" s="12"/>
      <c r="J148" s="12"/>
      <c r="K148" s="12"/>
      <c r="L148" s="14"/>
      <c r="M148" s="13"/>
      <c r="N148" s="14"/>
      <c r="O148" s="14"/>
      <c r="P148" s="13"/>
      <c r="Q148" s="12"/>
      <c r="R148" s="15">
        <v>387034.16</v>
      </c>
      <c r="S148" s="12" t="s">
        <v>34</v>
      </c>
      <c r="T148" s="15">
        <v>418905.68</v>
      </c>
      <c r="U148" s="12" t="s">
        <v>34</v>
      </c>
      <c r="V148" s="12"/>
      <c r="W148" s="5" t="b">
        <f>IFERROR(__xludf.DUMMYFUNCTION("If(OR(X148=true, Y148=true), If(P148&gt;Date(2025, 6, 10), Datedif(Date(2025, 6, 10), P148, ""D""), DATEDIF(P148, Date(2025, 6, 10), ""D"") * -1))"),FALSE)</f>
        <v>0</v>
      </c>
      <c r="X148" s="5" t="b">
        <f t="shared" si="1"/>
        <v>0</v>
      </c>
      <c r="Y148" s="5" t="b">
        <f t="shared" si="2"/>
        <v>0</v>
      </c>
      <c r="Z148" s="5" t="b">
        <f>IFERROR(__xludf.DUMMYFUNCTION("If(OR(X148=true, Y148=true), if(W148&lt;-60, ""greater 60"",if(W148&lt;-30, ""31-60"", If(W148&lt;0,""0-30"", ""Not mature""))))"),FALSE)</f>
        <v>0</v>
      </c>
    </row>
    <row r="149" ht="12.75" customHeight="1" outlineLevel="1">
      <c r="A149" s="12"/>
      <c r="B149" s="13"/>
      <c r="C149" s="12"/>
      <c r="D149" s="12"/>
      <c r="E149" s="13"/>
      <c r="F149" s="12"/>
      <c r="G149" s="12"/>
      <c r="H149" s="12"/>
      <c r="I149" s="12"/>
      <c r="J149" s="12"/>
      <c r="K149" s="12"/>
      <c r="L149" s="14"/>
      <c r="M149" s="13"/>
      <c r="N149" s="14"/>
      <c r="O149" s="14"/>
      <c r="P149" s="13"/>
      <c r="Q149" s="12"/>
      <c r="R149" s="15">
        <v>34408.85</v>
      </c>
      <c r="S149" s="12" t="s">
        <v>244</v>
      </c>
      <c r="T149" s="14"/>
      <c r="U149" s="12"/>
      <c r="V149" s="12"/>
      <c r="W149" s="5" t="b">
        <f>IFERROR(__xludf.DUMMYFUNCTION("If(OR(X149=true, Y149=true), If(P149&gt;Date(2025, 6, 10), Datedif(Date(2025, 6, 10), P149, ""D""), DATEDIF(P149, Date(2025, 6, 10), ""D"") * -1))"),FALSE)</f>
        <v>0</v>
      </c>
      <c r="X149" s="5" t="b">
        <f t="shared" si="1"/>
        <v>0</v>
      </c>
      <c r="Y149" s="5" t="b">
        <f t="shared" si="2"/>
        <v>0</v>
      </c>
      <c r="Z149" s="5" t="b">
        <f>IFERROR(__xludf.DUMMYFUNCTION("If(OR(X149=true, Y149=true), if(W149&lt;-60, ""greater 60"",if(W149&lt;-30, ""31-60"", If(W149&lt;0,""0-30"", ""Not mature""))))"),FALSE)</f>
        <v>0</v>
      </c>
    </row>
    <row r="150" ht="12.75" customHeight="1">
      <c r="A150" s="16"/>
      <c r="B150" s="17"/>
      <c r="C150" s="16"/>
      <c r="D150" s="16"/>
      <c r="E150" s="17"/>
      <c r="F150" s="16"/>
      <c r="G150" s="16"/>
      <c r="H150" s="16"/>
      <c r="I150" s="16"/>
      <c r="J150" s="16"/>
      <c r="K150" s="16"/>
      <c r="L150" s="18"/>
      <c r="M150" s="17"/>
      <c r="N150" s="18"/>
      <c r="O150" s="18"/>
      <c r="P150" s="17"/>
      <c r="Q150" s="16"/>
      <c r="R150" s="19">
        <v>387034.16</v>
      </c>
      <c r="S150" s="16" t="s">
        <v>34</v>
      </c>
      <c r="T150" s="19">
        <v>418905.68</v>
      </c>
      <c r="U150" s="16" t="s">
        <v>34</v>
      </c>
      <c r="V150" s="16"/>
      <c r="W150" s="5" t="b">
        <f>IFERROR(__xludf.DUMMYFUNCTION("If(OR(X150=true, Y150=true), If(P150&gt;Date(2025, 6, 10), Datedif(Date(2025, 6, 10), P150, ""D""), DATEDIF(P150, Date(2025, 6, 10), ""D"") * -1))"),FALSE)</f>
        <v>0</v>
      </c>
      <c r="X150" s="5" t="b">
        <f t="shared" si="1"/>
        <v>0</v>
      </c>
      <c r="Y150" s="5" t="b">
        <f t="shared" si="2"/>
        <v>0</v>
      </c>
      <c r="Z150" s="5" t="b">
        <f>IFERROR(__xludf.DUMMYFUNCTION("If(OR(X150=true, Y150=true), if(W150&lt;-60, ""greater 60"",if(W150&lt;-30, ""31-60"", If(W150&lt;0,""0-30"", ""Not mature""))))"),FALSE)</f>
        <v>0</v>
      </c>
    </row>
    <row r="151" ht="12.75" customHeight="1">
      <c r="A151" s="16"/>
      <c r="B151" s="17"/>
      <c r="C151" s="16"/>
      <c r="D151" s="16"/>
      <c r="E151" s="17"/>
      <c r="F151" s="16"/>
      <c r="G151" s="16"/>
      <c r="H151" s="16"/>
      <c r="I151" s="16"/>
      <c r="J151" s="16"/>
      <c r="K151" s="16"/>
      <c r="L151" s="18"/>
      <c r="M151" s="17"/>
      <c r="N151" s="18"/>
      <c r="O151" s="18"/>
      <c r="P151" s="17"/>
      <c r="Q151" s="16"/>
      <c r="R151" s="19">
        <v>34408.85</v>
      </c>
      <c r="S151" s="16" t="s">
        <v>244</v>
      </c>
      <c r="T151" s="18"/>
      <c r="U151" s="16"/>
      <c r="V151" s="16"/>
      <c r="W151" s="5" t="b">
        <f>IFERROR(__xludf.DUMMYFUNCTION("If(OR(X151=true, Y151=true), If(P151&gt;Date(2025, 6, 10), Datedif(Date(2025, 6, 10), P151, ""D""), DATEDIF(P151, Date(2025, 6, 10), ""D"") * -1))"),FALSE)</f>
        <v>0</v>
      </c>
      <c r="X151" s="5" t="b">
        <f t="shared" si="1"/>
        <v>0</v>
      </c>
      <c r="Y151" s="5" t="b">
        <f t="shared" si="2"/>
        <v>0</v>
      </c>
      <c r="Z151" s="5" t="b">
        <f>IFERROR(__xludf.DUMMYFUNCTION("If(OR(X151=true, Y151=true), if(W151&lt;-60, ""greater 60"",if(W151&lt;-30, ""31-60"", If(W151&lt;0,""0-30"", ""Not mature""))))"),FALSE)</f>
        <v>0</v>
      </c>
    </row>
    <row r="152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</sheetData>
  <autoFilter ref="$A$1:$AD$15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9.38"/>
    <col customWidth="1" min="3" max="3" width="17.25"/>
    <col customWidth="1" min="4" max="4" width="15.63"/>
    <col customWidth="1" min="5" max="5" width="10.0"/>
    <col customWidth="1" min="6" max="6" width="23.13"/>
    <col customWidth="1" min="7" max="8" width="10.75"/>
    <col customWidth="1" min="9" max="9" width="20.38"/>
    <col customWidth="1" min="10" max="10" width="17.25"/>
    <col customWidth="1" min="11" max="11" width="16.5"/>
    <col customWidth="1" min="12" max="12" width="19.5"/>
    <col customWidth="1" min="13" max="13" width="20.0"/>
    <col customWidth="1" min="14" max="26" width="7.63"/>
  </cols>
  <sheetData>
    <row r="1">
      <c r="A1" s="21" t="s">
        <v>293</v>
      </c>
      <c r="B1" s="21" t="s">
        <v>294</v>
      </c>
      <c r="C1" s="21" t="s">
        <v>295</v>
      </c>
      <c r="D1" s="21" t="s">
        <v>296</v>
      </c>
      <c r="E1" s="21" t="s">
        <v>297</v>
      </c>
      <c r="F1" s="21" t="s">
        <v>298</v>
      </c>
      <c r="G1" s="21" t="s">
        <v>296</v>
      </c>
      <c r="H1" s="21" t="s">
        <v>297</v>
      </c>
      <c r="I1" s="21" t="s">
        <v>299</v>
      </c>
      <c r="J1" s="21" t="s">
        <v>300</v>
      </c>
      <c r="K1" s="21" t="s">
        <v>301</v>
      </c>
      <c r="L1" s="21" t="s">
        <v>302</v>
      </c>
      <c r="M1" s="21" t="s">
        <v>303</v>
      </c>
    </row>
    <row r="2">
      <c r="A2" s="10">
        <v>692431.09</v>
      </c>
      <c r="B2" s="10">
        <v>-270988.08</v>
      </c>
      <c r="C2" s="5" t="s">
        <v>35</v>
      </c>
      <c r="D2" s="10">
        <v>343446.6099999999</v>
      </c>
      <c r="E2" s="22">
        <f>49.6001139983475/100</f>
        <v>0.49600114</v>
      </c>
      <c r="F2" s="5" t="s">
        <v>35</v>
      </c>
      <c r="G2" s="5">
        <v>0.0</v>
      </c>
      <c r="H2" s="5">
        <v>0.0</v>
      </c>
      <c r="I2" s="5">
        <v>8.0</v>
      </c>
      <c r="J2" s="5">
        <v>2.0</v>
      </c>
      <c r="K2" s="5">
        <v>7.0</v>
      </c>
    </row>
    <row r="3">
      <c r="C3" s="5" t="s">
        <v>304</v>
      </c>
      <c r="D3" s="10">
        <v>117724.01</v>
      </c>
      <c r="E3" s="22">
        <f>17.0015488472651/100</f>
        <v>0.1700154885</v>
      </c>
      <c r="F3" s="5" t="s">
        <v>304</v>
      </c>
      <c r="G3" s="10">
        <v>-18319.93</v>
      </c>
      <c r="H3" s="23">
        <f>6.76041912987464/100</f>
        <v>0.0676041913</v>
      </c>
      <c r="I3" s="5">
        <v>11.0</v>
      </c>
      <c r="J3" s="5">
        <v>3.0</v>
      </c>
      <c r="K3" s="5">
        <v>12.0</v>
      </c>
    </row>
    <row r="4">
      <c r="C4" s="5" t="s">
        <v>305</v>
      </c>
      <c r="D4" s="10">
        <v>58008.35999999999</v>
      </c>
      <c r="E4" s="22">
        <f>8.37749211982957/100</f>
        <v>0.0837749212</v>
      </c>
      <c r="F4" s="5" t="s">
        <v>305</v>
      </c>
      <c r="G4" s="10">
        <v>-104484.34</v>
      </c>
      <c r="H4" s="22">
        <f>38.5568029412954/100</f>
        <v>0.3855680294</v>
      </c>
      <c r="I4" s="5">
        <v>13.0</v>
      </c>
      <c r="J4" s="5">
        <v>4.0</v>
      </c>
      <c r="K4" s="5">
        <v>18.0</v>
      </c>
    </row>
    <row r="5">
      <c r="C5" s="5" t="s">
        <v>306</v>
      </c>
      <c r="D5" s="10">
        <v>173252.11</v>
      </c>
      <c r="E5" s="22">
        <f>25.0208450345579/100</f>
        <v>0.2502084503</v>
      </c>
      <c r="F5" s="5" t="s">
        <v>306</v>
      </c>
      <c r="G5" s="10">
        <v>-148183.81</v>
      </c>
      <c r="H5" s="22">
        <f>54.6827779288299/100</f>
        <v>0.5468277793</v>
      </c>
      <c r="I5" s="5">
        <v>17.0</v>
      </c>
      <c r="J5" s="5">
        <v>5.0</v>
      </c>
      <c r="K5" s="5">
        <v>22.0</v>
      </c>
    </row>
    <row r="6">
      <c r="I6" s="5">
        <v>19.0</v>
      </c>
      <c r="J6" s="5">
        <v>6.0</v>
      </c>
      <c r="K6" s="5">
        <v>24.0</v>
      </c>
    </row>
    <row r="7">
      <c r="I7" s="5">
        <v>21.0</v>
      </c>
      <c r="J7" s="5">
        <v>9.0</v>
      </c>
      <c r="K7" s="5">
        <v>33.0</v>
      </c>
    </row>
    <row r="8">
      <c r="A8" s="10"/>
      <c r="I8" s="5">
        <v>23.0</v>
      </c>
      <c r="J8" s="5">
        <v>10.0</v>
      </c>
      <c r="K8" s="5">
        <v>39.0</v>
      </c>
    </row>
    <row r="9">
      <c r="A9" s="10"/>
      <c r="I9" s="5">
        <v>26.0</v>
      </c>
      <c r="J9" s="5">
        <v>14.0</v>
      </c>
      <c r="K9" s="5">
        <v>40.0</v>
      </c>
    </row>
    <row r="10">
      <c r="A10" s="10"/>
      <c r="I10" s="5">
        <v>28.0</v>
      </c>
      <c r="J10" s="5">
        <v>15.0</v>
      </c>
      <c r="K10" s="5">
        <v>42.0</v>
      </c>
    </row>
    <row r="11">
      <c r="A11" s="10"/>
      <c r="I11" s="5">
        <v>31.0</v>
      </c>
      <c r="J11" s="5">
        <v>16.0</v>
      </c>
      <c r="K11" s="5">
        <v>43.0</v>
      </c>
    </row>
    <row r="12">
      <c r="I12" s="5">
        <v>34.0</v>
      </c>
      <c r="J12" s="5">
        <v>20.0</v>
      </c>
      <c r="K12" s="5">
        <v>44.0</v>
      </c>
    </row>
    <row r="13">
      <c r="I13" s="5">
        <v>36.0</v>
      </c>
      <c r="J13" s="5">
        <v>25.0</v>
      </c>
      <c r="K13" s="5">
        <v>45.0</v>
      </c>
    </row>
    <row r="14">
      <c r="I14" s="5">
        <v>38.0</v>
      </c>
      <c r="J14" s="5">
        <v>27.0</v>
      </c>
      <c r="K14" s="5">
        <v>53.0</v>
      </c>
    </row>
    <row r="15">
      <c r="I15" s="5">
        <v>41.0</v>
      </c>
      <c r="J15" s="5">
        <v>29.0</v>
      </c>
      <c r="K15" s="5">
        <v>54.0</v>
      </c>
    </row>
    <row r="16">
      <c r="I16" s="5">
        <v>63.0</v>
      </c>
      <c r="J16" s="5">
        <v>30.0</v>
      </c>
      <c r="K16" s="5">
        <v>55.0</v>
      </c>
    </row>
    <row r="17">
      <c r="I17" s="5">
        <v>65.0</v>
      </c>
      <c r="J17" s="5">
        <v>32.0</v>
      </c>
      <c r="K17" s="5">
        <v>56.0</v>
      </c>
    </row>
    <row r="18">
      <c r="I18" s="5">
        <v>67.0</v>
      </c>
      <c r="J18" s="5">
        <v>35.0</v>
      </c>
      <c r="K18" s="5">
        <v>57.0</v>
      </c>
    </row>
    <row r="19">
      <c r="I19" s="5">
        <v>80.0</v>
      </c>
      <c r="J19" s="5">
        <v>37.0</v>
      </c>
      <c r="K19" s="5">
        <v>58.0</v>
      </c>
    </row>
    <row r="20">
      <c r="I20" s="5">
        <v>83.0</v>
      </c>
      <c r="J20" s="5">
        <v>46.0</v>
      </c>
      <c r="K20" s="5">
        <v>59.0</v>
      </c>
    </row>
    <row r="21">
      <c r="I21" s="5">
        <v>87.0</v>
      </c>
      <c r="J21" s="5">
        <v>47.0</v>
      </c>
      <c r="K21" s="5">
        <v>60.0</v>
      </c>
    </row>
    <row r="22">
      <c r="I22" s="5">
        <v>89.0</v>
      </c>
      <c r="J22" s="5">
        <v>48.0</v>
      </c>
      <c r="K22" s="5">
        <v>61.0</v>
      </c>
    </row>
    <row r="23">
      <c r="I23" s="5">
        <v>98.0</v>
      </c>
      <c r="J23" s="5">
        <v>49.0</v>
      </c>
      <c r="K23" s="5">
        <v>62.0</v>
      </c>
    </row>
    <row r="24">
      <c r="I24" s="5">
        <v>100.0</v>
      </c>
      <c r="J24" s="5">
        <v>50.0</v>
      </c>
      <c r="K24" s="5">
        <v>66.0</v>
      </c>
    </row>
    <row r="25">
      <c r="I25" s="5">
        <v>103.0</v>
      </c>
      <c r="J25" s="5">
        <v>51.0</v>
      </c>
      <c r="K25" s="5">
        <v>78.0</v>
      </c>
    </row>
    <row r="26">
      <c r="I26" s="5">
        <v>105.0</v>
      </c>
      <c r="J26" s="5">
        <v>52.0</v>
      </c>
      <c r="K26" s="5">
        <v>79.0</v>
      </c>
    </row>
    <row r="27">
      <c r="I27" s="5">
        <v>110.0</v>
      </c>
      <c r="J27" s="5">
        <v>64.0</v>
      </c>
      <c r="K27" s="5">
        <v>90.0</v>
      </c>
    </row>
    <row r="28">
      <c r="I28" s="5">
        <v>112.0</v>
      </c>
      <c r="J28" s="5">
        <v>68.0</v>
      </c>
      <c r="K28" s="5">
        <v>97.0</v>
      </c>
    </row>
    <row r="29">
      <c r="I29" s="5">
        <v>114.0</v>
      </c>
      <c r="J29" s="5">
        <v>69.0</v>
      </c>
      <c r="K29" s="5">
        <v>104.0</v>
      </c>
    </row>
    <row r="30">
      <c r="I30" s="5">
        <v>117.0</v>
      </c>
      <c r="J30" s="5">
        <v>70.0</v>
      </c>
      <c r="K30" s="5">
        <v>115.0</v>
      </c>
    </row>
    <row r="31">
      <c r="I31" s="5">
        <v>119.0</v>
      </c>
      <c r="J31" s="5">
        <v>71.0</v>
      </c>
      <c r="K31" s="5">
        <v>116.0</v>
      </c>
    </row>
    <row r="32">
      <c r="I32" s="5">
        <v>124.0</v>
      </c>
      <c r="J32" s="5">
        <v>72.0</v>
      </c>
      <c r="K32" s="5">
        <v>120.0</v>
      </c>
    </row>
    <row r="33">
      <c r="I33" s="5">
        <v>126.0</v>
      </c>
      <c r="J33" s="5">
        <v>73.0</v>
      </c>
      <c r="K33" s="5">
        <v>123.0</v>
      </c>
    </row>
    <row r="34">
      <c r="I34" s="5">
        <v>129.0</v>
      </c>
      <c r="J34" s="5">
        <v>74.0</v>
      </c>
      <c r="K34" s="5">
        <v>125.0</v>
      </c>
    </row>
    <row r="35">
      <c r="I35" s="5">
        <v>131.0</v>
      </c>
      <c r="J35" s="5">
        <v>75.0</v>
      </c>
      <c r="K35" s="5">
        <v>132.0</v>
      </c>
    </row>
    <row r="36">
      <c r="I36" s="5">
        <v>133.0</v>
      </c>
      <c r="J36" s="5">
        <v>76.0</v>
      </c>
      <c r="K36" s="5">
        <v>135.0</v>
      </c>
    </row>
    <row r="37">
      <c r="I37" s="5">
        <v>136.0</v>
      </c>
      <c r="J37" s="5">
        <v>77.0</v>
      </c>
      <c r="K37" s="5">
        <v>140.0</v>
      </c>
    </row>
    <row r="38">
      <c r="I38" s="5">
        <v>141.0</v>
      </c>
      <c r="J38" s="5">
        <v>81.0</v>
      </c>
    </row>
    <row r="39">
      <c r="I39" s="5">
        <v>143.0</v>
      </c>
      <c r="J39" s="5">
        <v>82.0</v>
      </c>
    </row>
    <row r="40">
      <c r="I40" s="5">
        <v>145.0</v>
      </c>
      <c r="J40" s="5">
        <v>84.0</v>
      </c>
    </row>
    <row r="41">
      <c r="I41" s="5">
        <v>146.0</v>
      </c>
      <c r="J41" s="5">
        <v>85.0</v>
      </c>
    </row>
    <row r="42">
      <c r="I42" s="5">
        <v>147.0</v>
      </c>
      <c r="J42" s="5">
        <v>86.0</v>
      </c>
    </row>
    <row r="43">
      <c r="I43" s="5">
        <v>148.0</v>
      </c>
      <c r="J43" s="5">
        <v>88.0</v>
      </c>
    </row>
    <row r="44">
      <c r="I44" s="5">
        <v>149.0</v>
      </c>
      <c r="J44" s="5">
        <v>91.0</v>
      </c>
    </row>
    <row r="45">
      <c r="I45" s="5">
        <v>150.0</v>
      </c>
      <c r="J45" s="5">
        <v>92.0</v>
      </c>
    </row>
    <row r="46">
      <c r="I46" s="5">
        <v>151.0</v>
      </c>
      <c r="J46" s="5">
        <v>93.0</v>
      </c>
    </row>
    <row r="47">
      <c r="J47" s="5">
        <v>94.0</v>
      </c>
    </row>
    <row r="48">
      <c r="J48" s="5">
        <v>95.0</v>
      </c>
    </row>
    <row r="49">
      <c r="J49" s="5">
        <v>96.0</v>
      </c>
    </row>
    <row r="50">
      <c r="J50" s="5">
        <v>99.0</v>
      </c>
    </row>
    <row r="51">
      <c r="J51" s="5">
        <v>101.0</v>
      </c>
    </row>
    <row r="52">
      <c r="J52" s="5">
        <v>102.0</v>
      </c>
    </row>
    <row r="53">
      <c r="J53" s="5">
        <v>106.0</v>
      </c>
    </row>
    <row r="54">
      <c r="J54" s="5">
        <v>107.0</v>
      </c>
    </row>
    <row r="55">
      <c r="J55" s="5">
        <v>108.0</v>
      </c>
    </row>
    <row r="56">
      <c r="J56" s="5">
        <v>109.0</v>
      </c>
    </row>
    <row r="57">
      <c r="J57" s="5">
        <v>111.0</v>
      </c>
    </row>
    <row r="58">
      <c r="J58" s="5">
        <v>113.0</v>
      </c>
    </row>
    <row r="59">
      <c r="J59" s="5">
        <v>118.0</v>
      </c>
    </row>
    <row r="60">
      <c r="J60" s="5">
        <v>121.0</v>
      </c>
    </row>
    <row r="61">
      <c r="J61" s="5">
        <v>122.0</v>
      </c>
    </row>
    <row r="62">
      <c r="J62" s="5">
        <v>127.0</v>
      </c>
    </row>
    <row r="63">
      <c r="J63" s="5">
        <v>128.0</v>
      </c>
    </row>
    <row r="64">
      <c r="J64" s="5">
        <v>130.0</v>
      </c>
    </row>
    <row r="65">
      <c r="J65" s="5">
        <v>134.0</v>
      </c>
    </row>
    <row r="66">
      <c r="J66" s="5">
        <v>137.0</v>
      </c>
    </row>
    <row r="67">
      <c r="J67" s="5">
        <v>138.0</v>
      </c>
    </row>
    <row r="68">
      <c r="J68" s="5">
        <v>139.0</v>
      </c>
    </row>
    <row r="69">
      <c r="J69" s="5">
        <v>142.0</v>
      </c>
    </row>
    <row r="70">
      <c r="J70" s="5">
        <v>144.0</v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